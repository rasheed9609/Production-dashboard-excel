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e2046aea518518b3/Documents/Desktop/EXCEL DASHBOARD/"/>
    </mc:Choice>
  </mc:AlternateContent>
  <xr:revisionPtr revIDLastSave="4" documentId="8_{F3BF2024-ADE2-4CFC-9576-D4AD29080A12}" xr6:coauthVersionLast="47" xr6:coauthVersionMax="47" xr10:uidLastSave="{B7C6054B-C0BA-4453-8658-90D9A3C741D5}"/>
  <bookViews>
    <workbookView xWindow="-108" yWindow="-108" windowWidth="23256" windowHeight="13896" activeTab="5" xr2:uid="{00000000-000D-0000-FFFF-FFFF00000000}"/>
  </bookViews>
  <sheets>
    <sheet name="Sheet1" sheetId="2" r:id="rId1"/>
    <sheet name="DASHBOARD" sheetId="9" r:id="rId2"/>
    <sheet name="PIVOT 1" sheetId="4" r:id="rId3"/>
    <sheet name="PIVOT 2" sheetId="6" r:id="rId4"/>
    <sheet name="PIVOT 3" sheetId="7" r:id="rId5"/>
    <sheet name="PIVOT 4" sheetId="8" r:id="rId6"/>
    <sheet name="Production Dataset" sheetId="1" r:id="rId7"/>
  </sheets>
  <definedNames>
    <definedName name="_xlnm._FilterDatabase" localSheetId="6" hidden="1">'Production Dataset'!$A$1:$J$121</definedName>
    <definedName name="Slicer_Age_Group">#N/A</definedName>
    <definedName name="Slicer_Gender">#N/A</definedName>
    <definedName name="Slicer_Quarters__Production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57" i="1"/>
  <c r="J75" i="1"/>
  <c r="J31" i="1"/>
  <c r="J47" i="1"/>
  <c r="J5" i="1"/>
  <c r="J36" i="1"/>
  <c r="J18" i="1"/>
  <c r="J102" i="1"/>
  <c r="J54" i="1"/>
  <c r="J10" i="1"/>
  <c r="J77" i="1"/>
  <c r="J41" i="1"/>
  <c r="J48" i="1"/>
  <c r="J37" i="1"/>
  <c r="J71" i="1"/>
  <c r="J116" i="1"/>
  <c r="J115" i="1"/>
  <c r="J51" i="1"/>
  <c r="J26" i="1"/>
  <c r="J117" i="1"/>
  <c r="J105" i="1"/>
  <c r="J68" i="1"/>
  <c r="J35" i="1"/>
  <c r="J44" i="1"/>
  <c r="J21" i="1"/>
  <c r="J84" i="1"/>
  <c r="J110" i="1"/>
  <c r="J109" i="1"/>
  <c r="J119" i="1"/>
  <c r="J104" i="1"/>
  <c r="J94" i="1"/>
  <c r="J99" i="1"/>
  <c r="J29" i="1"/>
  <c r="J62" i="1"/>
  <c r="J101" i="1"/>
  <c r="J91" i="1"/>
  <c r="J59" i="1"/>
  <c r="J98" i="1"/>
  <c r="J23" i="1"/>
  <c r="J25" i="1"/>
  <c r="J58" i="1"/>
  <c r="J9" i="1"/>
  <c r="J22" i="1"/>
  <c r="J89" i="1"/>
  <c r="J120" i="1"/>
  <c r="J87" i="1"/>
  <c r="J86" i="1"/>
  <c r="J17" i="1"/>
  <c r="J93" i="1"/>
  <c r="J88" i="1"/>
  <c r="J12" i="1"/>
  <c r="J82" i="1"/>
  <c r="J30" i="1"/>
  <c r="J97" i="1"/>
  <c r="J90" i="1"/>
  <c r="J7" i="1"/>
  <c r="J50" i="1"/>
  <c r="J53" i="1"/>
  <c r="J63" i="1"/>
  <c r="J69" i="1"/>
  <c r="J72" i="1"/>
  <c r="J81" i="1"/>
  <c r="J106" i="1"/>
  <c r="J73" i="1"/>
  <c r="J76" i="1"/>
  <c r="J121" i="1"/>
  <c r="J52" i="1"/>
  <c r="J85" i="1"/>
  <c r="J114" i="1"/>
  <c r="J33" i="1"/>
  <c r="J61" i="1"/>
  <c r="J118" i="1"/>
  <c r="J38" i="1"/>
  <c r="J66" i="1"/>
  <c r="J2" i="1"/>
  <c r="J19" i="1"/>
  <c r="J111" i="1"/>
  <c r="J67" i="1"/>
  <c r="J107" i="1"/>
  <c r="J16" i="1"/>
  <c r="J42" i="1"/>
  <c r="J13" i="1"/>
  <c r="J108" i="1"/>
  <c r="J3" i="1"/>
  <c r="J34" i="1"/>
  <c r="J43" i="1"/>
  <c r="J95" i="1"/>
  <c r="J65" i="1"/>
  <c r="J92" i="1"/>
  <c r="J6" i="1"/>
  <c r="J45" i="1"/>
  <c r="J60" i="1"/>
  <c r="J83" i="1"/>
  <c r="J46" i="1"/>
  <c r="J100" i="1"/>
  <c r="J15" i="1"/>
  <c r="J39" i="1"/>
  <c r="J20" i="1"/>
  <c r="J79" i="1"/>
  <c r="J8" i="1"/>
  <c r="J14" i="1"/>
  <c r="J78" i="1"/>
  <c r="J40" i="1"/>
  <c r="J103" i="1"/>
  <c r="J112" i="1"/>
  <c r="J4" i="1"/>
  <c r="J74" i="1"/>
  <c r="J11" i="1"/>
  <c r="J55" i="1"/>
  <c r="J64" i="1"/>
  <c r="J28" i="1"/>
  <c r="J24" i="1"/>
  <c r="J96" i="1"/>
  <c r="J113" i="1"/>
  <c r="J27" i="1"/>
  <c r="J70" i="1"/>
  <c r="J32" i="1"/>
  <c r="J80" i="1"/>
  <c r="J56" i="1"/>
  <c r="J49" i="1"/>
</calcChain>
</file>

<file path=xl/sharedStrings.xml><?xml version="1.0" encoding="utf-8"?>
<sst xmlns="http://schemas.openxmlformats.org/spreadsheetml/2006/main" count="553" uniqueCount="57">
  <si>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</si>
  <si>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</si>
  <si>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</si>
  <si>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</si>
  <si>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</si>
  <si>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</si>
  <si>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</si>
  <si>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</si>
  <si>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</si>
  <si>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</si>
  <si>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</si>
  <si>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</si>
  <si>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</si>
  <si>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</si>
  <si>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</si>
  <si>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</si>
  <si>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</si>
  <si>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</si>
  <si>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</si>
  <si>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</si>
  <si>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</si>
  <si>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</si>
  <si>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</si>
  <si>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</si>
  <si>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</si>
  <si>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</si>
  <si>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</si>
  <si>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</si>
  <si>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</si>
  <si>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Age</t>
  </si>
  <si>
    <t>correct xlookup</t>
  </si>
  <si>
    <t>"=VLOOKUP(D3,Sheet1!$A$2:$B$11,2,0)"</t>
  </si>
  <si>
    <t>"=XLOOKUP(D3, Sheet1!$A$2:$A$11, Sheet1!$B$2:$B$11, "Not found")"</t>
  </si>
  <si>
    <t>vlookup age column formula</t>
  </si>
  <si>
    <t>Age Group</t>
  </si>
  <si>
    <t>Production Cost Per Unit</t>
  </si>
  <si>
    <t>Sum of TotalCost</t>
  </si>
  <si>
    <t>Row Labels</t>
  </si>
  <si>
    <t>Grand Total</t>
  </si>
  <si>
    <t>Number Of Task</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</si>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</sst>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4" x14ac:knownFonts="1">
    <font>
      <sz val="11"/>
      <color theme="1"/>
      <name val="Calibri"/>
      <family val="2"/>
      <scheme val="minor"/>
    </font>
    <font>
      <b/>
      <i/>
      <sz val="11"/>
      <color theme="1"/>
      <name val="Aptos Display"/>
      <family val="2"/>
    </font>
    <font>
      <sz val="11"/>
      <color theme="1"/>
      <name val="Aptos Display"/>
      <family val="2"/>
    </font>
    <font>
      <b/>
      <i/>
      <sz val="36"/>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center"/>
    </xf>
    <xf numFmtId="0" fontId="1" fillId="0" borderId="0" xfId="0" applyFont="1" applyAlignment="1">
      <alignment horizontal="center"/>
    </xf>
    <xf numFmtId="0" fontId="2" fillId="0" borderId="0" xfId="0" applyFont="1"/>
    <xf numFmtId="1" fontId="0" fillId="0" borderId="0" xfId="0" applyNumberFormat="1" applyAlignment="1">
      <alignment horizontal="center"/>
    </xf>
    <xf numFmtId="0" fontId="0" fillId="0" borderId="0" xfId="0" pivotButton="1"/>
    <xf numFmtId="164" fontId="0" fillId="0" borderId="0" xfId="0" applyNumberFormat="1"/>
    <xf numFmtId="0" fontId="0" fillId="0" borderId="0" xfId="0" applyAlignment="1">
      <alignment horizontal="left" indent="1"/>
    </xf>
    <xf numFmtId="1" fontId="0" fillId="0" borderId="0" xfId="0" applyNumberFormat="1"/>
    <xf numFmtId="0" fontId="0" fillId="0" borderId="1" xfId="0" applyBorder="1"/>
    <xf numFmtId="0" fontId="0" fillId="0" borderId="4" xfId="0" applyBorder="1"/>
    <xf numFmtId="0" fontId="0" fillId="0" borderId="5" xfId="0" applyBorder="1"/>
    <xf numFmtId="0" fontId="0" fillId="0" borderId="7" xfId="0" applyBorder="1"/>
    <xf numFmtId="0" fontId="0" fillId="0" borderId="8" xfId="0" applyBorder="1"/>
    <xf numFmtId="0" fontId="3" fillId="2" borderId="3" xfId="0" applyFont="1" applyFill="1" applyBorder="1" applyAlignment="1">
      <alignment horizontal="center" vertical="center"/>
    </xf>
    <xf numFmtId="0" fontId="0" fillId="2" borderId="2" xfId="0" applyFill="1" applyBorder="1" applyAlignment="1">
      <alignment horizontal="center" vertical="center"/>
    </xf>
    <xf numFmtId="0" fontId="0" fillId="2" borderId="6"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7" xfId="0" applyFill="1" applyBorder="1" applyAlignment="1">
      <alignment horizontal="center" vertical="center"/>
    </xf>
  </cellXfs>
  <cellStyles count="1">
    <cellStyle name="Normal" xfId="0" builtinId="0"/>
  </cellStyles>
  <dxfs count="2">
    <dxf>
      <numFmt numFmtId="164" formatCode="_ * #,##0_ ;_ * \-#,##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1!PivotTable2</c:name>
    <c:fmtId val="3"/>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i="1" u="sng">
                <a:solidFill>
                  <a:schemeClr val="tx1"/>
                </a:solidFill>
                <a:latin typeface="Arial" panose="020B0604020202020204" pitchFamily="34" charset="0"/>
                <a:cs typeface="Arial" panose="020B0604020202020204" pitchFamily="34" charset="0"/>
              </a:rPr>
              <a:t>Total Cost</a:t>
            </a:r>
            <a:r>
              <a:rPr lang="en-US" b="1" i="1" u="sng" baseline="0">
                <a:solidFill>
                  <a:schemeClr val="tx1"/>
                </a:solidFill>
                <a:latin typeface="Arial" panose="020B0604020202020204" pitchFamily="34" charset="0"/>
                <a:cs typeface="Arial" panose="020B0604020202020204" pitchFamily="34" charset="0"/>
              </a:rPr>
              <a:t> By Product Type</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60DC-4F20-823E-2978CD0ABFAF}"/>
            </c:ext>
          </c:extLst>
        </c:ser>
        <c:dLbls>
          <c:showLegendKey val="0"/>
          <c:showVal val="0"/>
          <c:showCatName val="0"/>
          <c:showSerName val="0"/>
          <c:showPercent val="0"/>
          <c:showBubbleSize val="0"/>
        </c:dLbls>
        <c:gapWidth val="150"/>
        <c:shape val="box"/>
        <c:axId val="188322976"/>
        <c:axId val="188323936"/>
        <c:axId val="0"/>
      </c:bar3DChart>
      <c:catAx>
        <c:axId val="18832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8323936"/>
        <c:crosses val="autoZero"/>
        <c:auto val="1"/>
        <c:lblAlgn val="ctr"/>
        <c:lblOffset val="100"/>
        <c:noMultiLvlLbl val="0"/>
      </c:catAx>
      <c:valAx>
        <c:axId val="18832393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83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2!PivotTable3</c:name>
    <c:fmtId val="3"/>
  </c:pivotSource>
  <c:chart>
    <c:title>
      <c:tx>
        <c:rich>
          <a:bodyPr rot="0" spcFirstLastPara="1" vertOverflow="ellipsis" vert="horz" wrap="square" anchor="ctr" anchorCtr="1"/>
          <a:lstStyle/>
          <a:p>
            <a:pPr>
              <a:defRPr sz="1320" b="1" i="1" u="dbl" strike="noStrike" kern="1200" spc="0" baseline="0">
                <a:solidFill>
                  <a:schemeClr val="tx1"/>
                </a:solidFill>
                <a:latin typeface="+mn-lt"/>
                <a:ea typeface="+mn-ea"/>
                <a:cs typeface="+mn-cs"/>
              </a:defRPr>
            </a:pPr>
            <a:r>
              <a:rPr lang="en-US" b="1" i="1" u="dbl">
                <a:solidFill>
                  <a:schemeClr val="tx1"/>
                </a:solidFill>
              </a:rPr>
              <a:t>Number</a:t>
            </a:r>
            <a:r>
              <a:rPr lang="en-US" b="1" i="1" u="dbl" baseline="0">
                <a:solidFill>
                  <a:schemeClr val="tx1"/>
                </a:solidFill>
              </a:rPr>
              <a:t> Of Task Per Manager</a:t>
            </a:r>
            <a:endParaRPr lang="en-US" b="1" i="1" u="dbl">
              <a:solidFill>
                <a:schemeClr val="tx1"/>
              </a:solidFill>
            </a:endParaRPr>
          </a:p>
        </c:rich>
      </c:tx>
      <c:overlay val="0"/>
      <c:spPr>
        <a:noFill/>
        <a:ln>
          <a:noFill/>
        </a:ln>
        <a:effectLst/>
      </c:spPr>
      <c:txPr>
        <a:bodyPr rot="0" spcFirstLastPara="1" vertOverflow="ellipsis" vert="horz" wrap="square" anchor="ctr" anchorCtr="1"/>
        <a:lstStyle/>
        <a:p>
          <a:pPr>
            <a:defRPr sz="1320" b="1" i="1" u="dbl"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7B37-412E-A3C6-4DBC096C0AD9}"/>
            </c:ext>
          </c:extLst>
        </c:ser>
        <c:dLbls>
          <c:showLegendKey val="0"/>
          <c:showVal val="1"/>
          <c:showCatName val="0"/>
          <c:showSerName val="0"/>
          <c:showPercent val="0"/>
          <c:showBubbleSize val="0"/>
        </c:dLbls>
        <c:gapWidth val="150"/>
        <c:shape val="box"/>
        <c:axId val="215799520"/>
        <c:axId val="215800960"/>
        <c:axId val="0"/>
      </c:bar3DChart>
      <c:catAx>
        <c:axId val="215799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5800960"/>
        <c:crosses val="autoZero"/>
        <c:auto val="1"/>
        <c:lblAlgn val="ctr"/>
        <c:lblOffset val="100"/>
        <c:noMultiLvlLbl val="0"/>
      </c:catAx>
      <c:valAx>
        <c:axId val="215800960"/>
        <c:scaling>
          <c:orientation val="minMax"/>
        </c:scaling>
        <c:delete val="1"/>
        <c:axPos val="b"/>
        <c:numFmt formatCode="General" sourceLinked="1"/>
        <c:majorTickMark val="out"/>
        <c:minorTickMark val="none"/>
        <c:tickLblPos val="nextTo"/>
        <c:crossAx val="2157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Unit Produced</a:t>
            </a:r>
            <a:r>
              <a:rPr lang="en-US" b="1" i="1" u="sng" baseline="0">
                <a:solidFill>
                  <a:schemeClr val="tx1"/>
                </a:solidFill>
              </a:rPr>
              <a:t> By Month/Year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390374331550801E-2"/>
          <c:y val="0.12350982350982352"/>
          <c:w val="0.96078431372549022"/>
          <c:h val="0.56412511373141294"/>
        </c:manualLayout>
      </c:layout>
      <c:line3DChart>
        <c:grouping val="standard"/>
        <c:varyColors val="0"/>
        <c:ser>
          <c:idx val="0"/>
          <c:order val="0"/>
          <c:tx>
            <c:strRef>
              <c:f>'PIVOT 3'!$B$3</c:f>
              <c:strCache>
                <c:ptCount val="1"/>
                <c:pt idx="0">
                  <c:v>Total</c:v>
                </c:pt>
              </c:strCache>
            </c:strRef>
          </c:tx>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8818-4C89-9DBA-AA7823426FDB}"/>
            </c:ext>
          </c:extLst>
        </c:ser>
        <c:dLbls>
          <c:showLegendKey val="0"/>
          <c:showVal val="1"/>
          <c:showCatName val="0"/>
          <c:showSerName val="0"/>
          <c:showPercent val="0"/>
          <c:showBubbleSize val="0"/>
        </c:dLbls>
        <c:axId val="1908411632"/>
        <c:axId val="1908420272"/>
        <c:axId val="1664360176"/>
      </c:line3DChart>
      <c:catAx>
        <c:axId val="190841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08420272"/>
        <c:crosses val="autoZero"/>
        <c:auto val="1"/>
        <c:lblAlgn val="ctr"/>
        <c:lblOffset val="100"/>
        <c:noMultiLvlLbl val="0"/>
      </c:catAx>
      <c:valAx>
        <c:axId val="1908420272"/>
        <c:scaling>
          <c:orientation val="minMax"/>
        </c:scaling>
        <c:delete val="0"/>
        <c:axPos val="l"/>
        <c:majorGridlines>
          <c:spPr>
            <a:ln w="9525" cap="flat" cmpd="sng" algn="ctr">
              <a:solidFill>
                <a:schemeClr val="tx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tx1"/>
                </a:solidFill>
                <a:latin typeface="+mn-lt"/>
                <a:ea typeface="+mn-ea"/>
                <a:cs typeface="+mn-cs"/>
              </a:defRPr>
            </a:pPr>
            <a:endParaRPr lang="en-US"/>
          </a:p>
        </c:txPr>
        <c:crossAx val="1908411632"/>
        <c:crosses val="autoZero"/>
        <c:crossBetween val="between"/>
      </c:valAx>
      <c:serAx>
        <c:axId val="1664360176"/>
        <c:scaling>
          <c:orientation val="minMax"/>
        </c:scaling>
        <c:delete val="1"/>
        <c:axPos val="b"/>
        <c:majorTickMark val="out"/>
        <c:minorTickMark val="none"/>
        <c:tickLblPos val="nextTo"/>
        <c:crossAx val="19084202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chemeClr val="tx1"/>
                </a:solidFill>
              </a:rPr>
              <a:t>Average</a:t>
            </a:r>
            <a:r>
              <a:rPr lang="en-IN" b="1" i="1" u="sng" baseline="0">
                <a:solidFill>
                  <a:schemeClr val="tx1"/>
                </a:solidFill>
              </a:rPr>
              <a:t> Production Cost Per Unit By Product Type</a:t>
            </a:r>
            <a:endParaRPr lang="en-IN"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1E1-44B0-891C-3F1594BD5B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1E1-44B0-891C-3F1594BD5BD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1E1-44B0-891C-3F1594BD5BD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1E1-44B0-891C-3F1594BD5BD6}"/>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F1E1-44B0-891C-3F1594BD5BD6}"/>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1!PivotTable2</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i="1" u="sng">
                <a:solidFill>
                  <a:schemeClr val="tx1"/>
                </a:solidFill>
                <a:latin typeface="Arial" panose="020B0604020202020204" pitchFamily="34" charset="0"/>
                <a:cs typeface="Arial" panose="020B0604020202020204" pitchFamily="34" charset="0"/>
              </a:rPr>
              <a:t>Total Cost</a:t>
            </a:r>
            <a:r>
              <a:rPr lang="en-US" b="1" i="1" u="sng" baseline="0">
                <a:solidFill>
                  <a:schemeClr val="tx1"/>
                </a:solidFill>
                <a:latin typeface="Arial" panose="020B0604020202020204" pitchFamily="34" charset="0"/>
                <a:cs typeface="Arial" panose="020B0604020202020204" pitchFamily="34" charset="0"/>
              </a:rPr>
              <a:t> By Product Type</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CF77-4947-BCF7-BCFB70455938}"/>
            </c:ext>
          </c:extLst>
        </c:ser>
        <c:dLbls>
          <c:showLegendKey val="0"/>
          <c:showVal val="0"/>
          <c:showCatName val="0"/>
          <c:showSerName val="0"/>
          <c:showPercent val="0"/>
          <c:showBubbleSize val="0"/>
        </c:dLbls>
        <c:gapWidth val="150"/>
        <c:shape val="box"/>
        <c:axId val="188322976"/>
        <c:axId val="188323936"/>
        <c:axId val="0"/>
      </c:bar3DChart>
      <c:catAx>
        <c:axId val="18832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8323936"/>
        <c:crosses val="autoZero"/>
        <c:auto val="1"/>
        <c:lblAlgn val="ctr"/>
        <c:lblOffset val="100"/>
        <c:noMultiLvlLbl val="0"/>
      </c:catAx>
      <c:valAx>
        <c:axId val="18832393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883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2!PivotTable3</c:name>
    <c:fmtId val="0"/>
  </c:pivotSource>
  <c:chart>
    <c:title>
      <c:tx>
        <c:rich>
          <a:bodyPr rot="0" spcFirstLastPara="1" vertOverflow="ellipsis" vert="horz" wrap="square" anchor="ctr" anchorCtr="1"/>
          <a:lstStyle/>
          <a:p>
            <a:pPr>
              <a:defRPr sz="1320" b="1" i="1" u="dbl" strike="noStrike" kern="1200" spc="0" baseline="0">
                <a:solidFill>
                  <a:schemeClr val="tx1"/>
                </a:solidFill>
                <a:latin typeface="+mn-lt"/>
                <a:ea typeface="+mn-ea"/>
                <a:cs typeface="+mn-cs"/>
              </a:defRPr>
            </a:pPr>
            <a:r>
              <a:rPr lang="en-US" b="1" i="1" u="dbl">
                <a:solidFill>
                  <a:schemeClr val="tx1"/>
                </a:solidFill>
              </a:rPr>
              <a:t>Number</a:t>
            </a:r>
            <a:r>
              <a:rPr lang="en-US" b="1" i="1" u="dbl" baseline="0">
                <a:solidFill>
                  <a:schemeClr val="tx1"/>
                </a:solidFill>
              </a:rPr>
              <a:t> Of Task Per Manager</a:t>
            </a:r>
            <a:endParaRPr lang="en-US" b="1" i="1" u="dbl">
              <a:solidFill>
                <a:schemeClr val="tx1"/>
              </a:solidFill>
            </a:endParaRPr>
          </a:p>
        </c:rich>
      </c:tx>
      <c:overlay val="0"/>
      <c:spPr>
        <a:noFill/>
        <a:ln>
          <a:noFill/>
        </a:ln>
        <a:effectLst/>
      </c:spPr>
      <c:txPr>
        <a:bodyPr rot="0" spcFirstLastPara="1" vertOverflow="ellipsis" vert="horz" wrap="square" anchor="ctr" anchorCtr="1"/>
        <a:lstStyle/>
        <a:p>
          <a:pPr>
            <a:defRPr sz="1320" b="1" i="1" u="dbl"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solidFill>
                <a:schemeClr val="accent5">
                  <a:lumMod val="75000"/>
                </a:schemeClr>
              </a:solidFill>
            </a:ln>
            <a:effectLst/>
            <a:sp3d>
              <a:contourClr>
                <a:schemeClr val="accent5">
                  <a:lumMod val="75000"/>
                </a:schemeClr>
              </a:contourClr>
            </a:sp3d>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351E-437E-9A20-0A6597363CA7}"/>
            </c:ext>
          </c:extLst>
        </c:ser>
        <c:dLbls>
          <c:showLegendKey val="0"/>
          <c:showVal val="1"/>
          <c:showCatName val="0"/>
          <c:showSerName val="0"/>
          <c:showPercent val="0"/>
          <c:showBubbleSize val="0"/>
        </c:dLbls>
        <c:gapWidth val="150"/>
        <c:shape val="box"/>
        <c:axId val="215799520"/>
        <c:axId val="215800960"/>
        <c:axId val="0"/>
      </c:bar3DChart>
      <c:catAx>
        <c:axId val="215799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5800960"/>
        <c:crosses val="autoZero"/>
        <c:auto val="1"/>
        <c:lblAlgn val="ctr"/>
        <c:lblOffset val="100"/>
        <c:noMultiLvlLbl val="0"/>
      </c:catAx>
      <c:valAx>
        <c:axId val="215800960"/>
        <c:scaling>
          <c:orientation val="minMax"/>
        </c:scaling>
        <c:delete val="1"/>
        <c:axPos val="b"/>
        <c:numFmt formatCode="General" sourceLinked="1"/>
        <c:majorTickMark val="out"/>
        <c:minorTickMark val="none"/>
        <c:tickLblPos val="nextTo"/>
        <c:crossAx val="2157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Unit Produced</a:t>
            </a:r>
            <a:r>
              <a:rPr lang="en-US" b="1" i="1" u="sng" baseline="0">
                <a:solidFill>
                  <a:schemeClr val="tx1"/>
                </a:solidFill>
              </a:rPr>
              <a:t> By Month/Year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390374331550801E-2"/>
          <c:y val="0.12350982350982352"/>
          <c:w val="0.96078431372549022"/>
          <c:h val="0.56412511373141294"/>
        </c:manualLayout>
      </c:layout>
      <c:line3DChart>
        <c:grouping val="standard"/>
        <c:varyColors val="0"/>
        <c:ser>
          <c:idx val="0"/>
          <c:order val="0"/>
          <c:tx>
            <c:strRef>
              <c:f>'PIVOT 3'!$B$3</c:f>
              <c:strCache>
                <c:ptCount val="1"/>
                <c:pt idx="0">
                  <c:v>Total</c:v>
                </c:pt>
              </c:strCache>
            </c:strRef>
          </c:tx>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6200000" scaled="1"/>
              <a:tileRect/>
            </a:gra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8CD-425B-B4DA-4633F71571AB}"/>
            </c:ext>
          </c:extLst>
        </c:ser>
        <c:dLbls>
          <c:showLegendKey val="0"/>
          <c:showVal val="1"/>
          <c:showCatName val="0"/>
          <c:showSerName val="0"/>
          <c:showPercent val="0"/>
          <c:showBubbleSize val="0"/>
        </c:dLbls>
        <c:axId val="1908411632"/>
        <c:axId val="1908420272"/>
        <c:axId val="1664360176"/>
      </c:line3DChart>
      <c:catAx>
        <c:axId val="190841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08420272"/>
        <c:crosses val="autoZero"/>
        <c:auto val="1"/>
        <c:lblAlgn val="ctr"/>
        <c:lblOffset val="100"/>
        <c:noMultiLvlLbl val="0"/>
      </c:catAx>
      <c:valAx>
        <c:axId val="190842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1" u="none" strike="noStrike" kern="1200" baseline="0">
                <a:solidFill>
                  <a:schemeClr val="tx1"/>
                </a:solidFill>
                <a:latin typeface="+mn-lt"/>
                <a:ea typeface="+mn-ea"/>
                <a:cs typeface="+mn-cs"/>
              </a:defRPr>
            </a:pPr>
            <a:endParaRPr lang="en-US"/>
          </a:p>
        </c:txPr>
        <c:crossAx val="1908411632"/>
        <c:crosses val="autoZero"/>
        <c:crossBetween val="between"/>
      </c:valAx>
      <c:serAx>
        <c:axId val="1664360176"/>
        <c:scaling>
          <c:orientation val="minMax"/>
        </c:scaling>
        <c:delete val="0"/>
        <c:axPos val="b"/>
        <c:majorGridlines>
          <c:spPr>
            <a:ln w="9525" cap="flat" cmpd="sng" algn="ctr">
              <a:solidFill>
                <a:schemeClr val="tx1">
                  <a:lumMod val="15000"/>
                  <a:lumOff val="85000"/>
                </a:schemeClr>
              </a:solidFill>
              <a:round/>
            </a:ln>
            <a:effectLst/>
          </c:spPr>
        </c:majorGridlines>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4202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solidFill>
                  <a:schemeClr val="tx1"/>
                </a:solidFill>
              </a:rPr>
              <a:t>Average</a:t>
            </a:r>
            <a:r>
              <a:rPr lang="en-IN" b="1" i="1" u="sng" baseline="0">
                <a:solidFill>
                  <a:schemeClr val="tx1"/>
                </a:solidFill>
              </a:rPr>
              <a:t> Production Cost Per Unit By Product Type</a:t>
            </a:r>
            <a:endParaRPr lang="en-IN"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C88-4030-8728-93001C75D9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C88-4030-8728-93001C75D9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C88-4030-8728-93001C75D9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C88-4030-8728-93001C75D919}"/>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F1F4-4B0D-B2E3-56A588CC3BC6}"/>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30480</xdr:colOff>
      <xdr:row>15</xdr:row>
      <xdr:rowOff>121921</xdr:rowOff>
    </xdr:from>
    <xdr:to>
      <xdr:col>19</xdr:col>
      <xdr:colOff>251460</xdr:colOff>
      <xdr:row>38</xdr:row>
      <xdr:rowOff>80011</xdr:rowOff>
    </xdr:to>
    <xdr:graphicFrame macro="">
      <xdr:nvGraphicFramePr>
        <xdr:cNvPr id="2" name="Chart 1">
          <a:extLst>
            <a:ext uri="{FF2B5EF4-FFF2-40B4-BE49-F238E27FC236}">
              <a16:creationId xmlns:a16="http://schemas.microsoft.com/office/drawing/2014/main" id="{0A5B4648-86A4-46C8-B7E7-552CCC7FD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15</xdr:row>
      <xdr:rowOff>176696</xdr:rowOff>
    </xdr:from>
    <xdr:to>
      <xdr:col>30</xdr:col>
      <xdr:colOff>563107</xdr:colOff>
      <xdr:row>38</xdr:row>
      <xdr:rowOff>88347</xdr:rowOff>
    </xdr:to>
    <xdr:graphicFrame macro="">
      <xdr:nvGraphicFramePr>
        <xdr:cNvPr id="3" name="Chart 2">
          <a:extLst>
            <a:ext uri="{FF2B5EF4-FFF2-40B4-BE49-F238E27FC236}">
              <a16:creationId xmlns:a16="http://schemas.microsoft.com/office/drawing/2014/main" id="{3996BECD-60C2-4D9C-9D2E-E05475005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40</xdr:row>
      <xdr:rowOff>77304</xdr:rowOff>
    </xdr:from>
    <xdr:to>
      <xdr:col>19</xdr:col>
      <xdr:colOff>265042</xdr:colOff>
      <xdr:row>60</xdr:row>
      <xdr:rowOff>55218</xdr:rowOff>
    </xdr:to>
    <xdr:graphicFrame macro="">
      <xdr:nvGraphicFramePr>
        <xdr:cNvPr id="4" name="Chart 3">
          <a:extLst>
            <a:ext uri="{FF2B5EF4-FFF2-40B4-BE49-F238E27FC236}">
              <a16:creationId xmlns:a16="http://schemas.microsoft.com/office/drawing/2014/main" id="{D582708E-1B02-4B28-8682-FF9A93770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40</xdr:row>
      <xdr:rowOff>88348</xdr:rowOff>
    </xdr:from>
    <xdr:to>
      <xdr:col>30</xdr:col>
      <xdr:colOff>563217</xdr:colOff>
      <xdr:row>60</xdr:row>
      <xdr:rowOff>88348</xdr:rowOff>
    </xdr:to>
    <xdr:graphicFrame macro="">
      <xdr:nvGraphicFramePr>
        <xdr:cNvPr id="5" name="Chart 4">
          <a:extLst>
            <a:ext uri="{FF2B5EF4-FFF2-40B4-BE49-F238E27FC236}">
              <a16:creationId xmlns:a16="http://schemas.microsoft.com/office/drawing/2014/main" id="{9BDC1D03-49B2-4A19-8ADE-EB2C6AE78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505646</xdr:colOff>
      <xdr:row>4</xdr:row>
      <xdr:rowOff>116068</xdr:rowOff>
    </xdr:from>
    <xdr:to>
      <xdr:col>15</xdr:col>
      <xdr:colOff>530846</xdr:colOff>
      <xdr:row>12</xdr:row>
      <xdr:rowOff>132523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ECECE19-C7CB-E218-6025-94968B37A6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20846" y="866345"/>
              <a:ext cx="1854000" cy="1517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93785</xdr:colOff>
      <xdr:row>4</xdr:row>
      <xdr:rowOff>126448</xdr:rowOff>
    </xdr:from>
    <xdr:to>
      <xdr:col>22</xdr:col>
      <xdr:colOff>275790</xdr:colOff>
      <xdr:row>12</xdr:row>
      <xdr:rowOff>110435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9EA864D-B081-3D00-6540-58E39486AD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76185" y="876725"/>
              <a:ext cx="2010805" cy="1484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24262</xdr:colOff>
      <xdr:row>4</xdr:row>
      <xdr:rowOff>124020</xdr:rowOff>
    </xdr:from>
    <xdr:to>
      <xdr:col>19</xdr:col>
      <xdr:colOff>30888</xdr:colOff>
      <xdr:row>12</xdr:row>
      <xdr:rowOff>132523</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8D10DA8E-114B-CC0A-EEFD-9FEF4C586561}"/>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9777862" y="874297"/>
              <a:ext cx="1835426" cy="1509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328246</xdr:colOff>
      <xdr:row>4</xdr:row>
      <xdr:rowOff>145588</xdr:rowOff>
    </xdr:from>
    <xdr:to>
      <xdr:col>25</xdr:col>
      <xdr:colOff>442062</xdr:colOff>
      <xdr:row>12</xdr:row>
      <xdr:rowOff>89708</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4F91A1A5-545A-AD56-F009-D27EEB73425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739446" y="895865"/>
              <a:ext cx="1942616" cy="1444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1</xdr:row>
      <xdr:rowOff>19050</xdr:rowOff>
    </xdr:from>
    <xdr:to>
      <xdr:col>15</xdr:col>
      <xdr:colOff>419100</xdr:colOff>
      <xdr:row>23</xdr:row>
      <xdr:rowOff>160020</xdr:rowOff>
    </xdr:to>
    <xdr:graphicFrame macro="">
      <xdr:nvGraphicFramePr>
        <xdr:cNvPr id="2" name="Chart 1">
          <a:extLst>
            <a:ext uri="{FF2B5EF4-FFF2-40B4-BE49-F238E27FC236}">
              <a16:creationId xmlns:a16="http://schemas.microsoft.com/office/drawing/2014/main" id="{AE1F57AE-3352-C3BB-0DEC-FBB4CC3D6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2</xdr:row>
      <xdr:rowOff>19050</xdr:rowOff>
    </xdr:from>
    <xdr:to>
      <xdr:col>14</xdr:col>
      <xdr:colOff>167640</xdr:colOff>
      <xdr:row>24</xdr:row>
      <xdr:rowOff>144780</xdr:rowOff>
    </xdr:to>
    <xdr:graphicFrame macro="">
      <xdr:nvGraphicFramePr>
        <xdr:cNvPr id="2" name="Chart 1">
          <a:extLst>
            <a:ext uri="{FF2B5EF4-FFF2-40B4-BE49-F238E27FC236}">
              <a16:creationId xmlns:a16="http://schemas.microsoft.com/office/drawing/2014/main" id="{1ECE8CAA-C1A2-BF15-B1AB-3B0F674DA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182880</xdr:colOff>
      <xdr:row>2</xdr:row>
      <xdr:rowOff>87630</xdr:rowOff>
    </xdr:from>
    <xdr:to>
      <xdr:col>14</xdr:col>
      <xdr:colOff>601980</xdr:colOff>
      <xdr:row>23</xdr:row>
      <xdr:rowOff>60960</xdr:rowOff>
    </xdr:to>
    <xdr:graphicFrame macro="">
      <xdr:nvGraphicFramePr>
        <xdr:cNvPr id="2" name="Chart 1">
          <a:extLst>
            <a:ext uri="{FF2B5EF4-FFF2-40B4-BE49-F238E27FC236}">
              <a16:creationId xmlns:a16="http://schemas.microsoft.com/office/drawing/2014/main" id="{DB8B096B-C65C-770D-CB14-56583D2D5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358140</xdr:colOff>
      <xdr:row>2</xdr:row>
      <xdr:rowOff>11430</xdr:rowOff>
    </xdr:from>
    <xdr:to>
      <xdr:col>11</xdr:col>
      <xdr:colOff>205740</xdr:colOff>
      <xdr:row>19</xdr:row>
      <xdr:rowOff>137160</xdr:rowOff>
    </xdr:to>
    <xdr:graphicFrame macro="">
      <xdr:nvGraphicFramePr>
        <xdr:cNvPr id="2" name="Chart 1">
          <a:extLst>
            <a:ext uri="{FF2B5EF4-FFF2-40B4-BE49-F238E27FC236}">
              <a16:creationId xmlns:a16="http://schemas.microsoft.com/office/drawing/2014/main" id="{BD87AB94-1C13-1960-0F8A-EF68C403F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ASHEED" refreshedDate="46060.848904050923" createdVersion="8" refreshedVersion="8" minRefreshableVersion="3" recordCount="120" xr:uid="{2E377FE7-DC55-4A25-ACE0-602426DC31EE}">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ount="111">
        <n v="412"/>
        <n v="430"/>
        <n v="478"/>
        <n v="459"/>
        <n v="178"/>
        <n v="401"/>
        <n v="68"/>
        <n v="447"/>
        <n v="55"/>
        <n v="396"/>
        <n v="494"/>
        <n v="462"/>
        <n v="435"/>
        <n v="332"/>
        <n v="383"/>
        <n v="193"/>
        <n v="240"/>
        <n v="363"/>
        <n v="443"/>
        <n v="331"/>
        <n v="250"/>
        <n v="180"/>
        <n v="90"/>
        <n v="458"/>
        <n v="439"/>
        <n v="406"/>
        <n v="422"/>
        <n v="444"/>
        <n v="499"/>
        <n v="290"/>
        <n v="369"/>
        <n v="389"/>
        <n v="511"/>
        <n v="333"/>
        <n v="260"/>
        <n v="460"/>
        <n v="145"/>
        <n v="115"/>
        <n v="248"/>
        <n v="165"/>
        <n v="51"/>
        <n v="382"/>
        <n v="354"/>
        <n v="368"/>
        <n v="79"/>
        <n v="231"/>
        <n v="288"/>
        <n v="214"/>
        <n v="74"/>
        <n v="177"/>
        <n v="358"/>
        <n v="343"/>
        <n v="63"/>
        <n v="429"/>
        <n v="491"/>
        <n v="344"/>
        <n v="255"/>
        <n v="160"/>
        <n v="322"/>
        <n v="151"/>
        <n v="535"/>
        <n v="305"/>
        <n v="188"/>
        <n v="495"/>
        <n v="190"/>
        <n v="308"/>
        <n v="183"/>
        <n v="335"/>
        <n v="95"/>
        <n v="218"/>
        <n v="265"/>
        <n v="213"/>
        <n v="128"/>
        <n v="208"/>
        <n v="465"/>
        <n v="519"/>
        <n v="380"/>
        <n v="32"/>
        <n v="130"/>
        <n v="545"/>
        <n v="84"/>
        <n v="192"/>
        <n v="60"/>
        <n v="209"/>
        <n v="264"/>
        <n v="97"/>
        <n v="404"/>
        <n v="386"/>
        <n v="366"/>
        <n v="173"/>
        <n v="306"/>
        <n v="222"/>
        <n v="216"/>
        <n v="307"/>
        <n v="384"/>
        <n v="376"/>
        <n v="359"/>
        <n v="318"/>
        <n v="236"/>
        <n v="86"/>
        <n v="155"/>
        <n v="319"/>
        <n v="62"/>
        <n v="81"/>
        <n v="126"/>
        <n v="541"/>
        <n v="666"/>
        <n v="527"/>
        <n v="289"/>
        <n v="199"/>
        <n v="497"/>
      </sharedItems>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Age" numFmtId="0">
      <sharedItems containsSemiMixedTypes="0" containsString="0" containsNumber="1" containsInteger="1" minValue="25" maxValue="57"/>
    </cacheField>
    <cacheField name="Age Group"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836176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x v="0"/>
    <n v="22288"/>
    <x v="0"/>
    <n v="25"/>
    <x v="0"/>
    <n v="54.097087378640779"/>
  </r>
  <r>
    <n v="2"/>
    <x v="1"/>
    <x v="1"/>
    <x v="1"/>
    <x v="1"/>
    <x v="1"/>
    <n v="66500"/>
    <x v="0"/>
    <n v="52"/>
    <x v="1"/>
    <n v="154.65116279069767"/>
  </r>
  <r>
    <n v="3"/>
    <x v="2"/>
    <x v="2"/>
    <x v="2"/>
    <x v="2"/>
    <x v="2"/>
    <n v="76076"/>
    <x v="1"/>
    <n v="36"/>
    <x v="2"/>
    <n v="159.15481171548117"/>
  </r>
  <r>
    <n v="4"/>
    <x v="3"/>
    <x v="1"/>
    <x v="3"/>
    <x v="2"/>
    <x v="3"/>
    <n v="17069"/>
    <x v="2"/>
    <n v="57"/>
    <x v="1"/>
    <n v="37.187363834422655"/>
  </r>
  <r>
    <n v="5"/>
    <x v="4"/>
    <x v="0"/>
    <x v="4"/>
    <x v="2"/>
    <x v="4"/>
    <n v="41349"/>
    <x v="1"/>
    <n v="26"/>
    <x v="0"/>
    <n v="232.29775280898878"/>
  </r>
  <r>
    <n v="6"/>
    <x v="5"/>
    <x v="1"/>
    <x v="4"/>
    <x v="2"/>
    <x v="5"/>
    <n v="19691"/>
    <x v="1"/>
    <n v="26"/>
    <x v="0"/>
    <n v="49.104738154613464"/>
  </r>
  <r>
    <n v="7"/>
    <x v="6"/>
    <x v="1"/>
    <x v="5"/>
    <x v="2"/>
    <x v="6"/>
    <n v="11696"/>
    <x v="1"/>
    <n v="28"/>
    <x v="0"/>
    <n v="172"/>
  </r>
  <r>
    <n v="8"/>
    <x v="7"/>
    <x v="1"/>
    <x v="6"/>
    <x v="3"/>
    <x v="7"/>
    <n v="52269"/>
    <x v="1"/>
    <n v="28"/>
    <x v="0"/>
    <n v="116.93288590604027"/>
  </r>
  <r>
    <n v="9"/>
    <x v="8"/>
    <x v="1"/>
    <x v="7"/>
    <x v="3"/>
    <x v="8"/>
    <n v="25893"/>
    <x v="1"/>
    <n v="42"/>
    <x v="2"/>
    <n v="470.78181818181821"/>
  </r>
  <r>
    <n v="10"/>
    <x v="9"/>
    <x v="1"/>
    <x v="7"/>
    <x v="0"/>
    <x v="9"/>
    <n v="38480"/>
    <x v="0"/>
    <n v="42"/>
    <x v="2"/>
    <n v="97.171717171717177"/>
  </r>
  <r>
    <n v="11"/>
    <x v="10"/>
    <x v="1"/>
    <x v="8"/>
    <x v="2"/>
    <x v="10"/>
    <n v="46767"/>
    <x v="0"/>
    <n v="25"/>
    <x v="0"/>
    <n v="94.670040485829958"/>
  </r>
  <r>
    <n v="12"/>
    <x v="11"/>
    <x v="1"/>
    <x v="8"/>
    <x v="0"/>
    <x v="11"/>
    <n v="26145"/>
    <x v="2"/>
    <n v="25"/>
    <x v="0"/>
    <n v="56.590909090909093"/>
  </r>
  <r>
    <n v="13"/>
    <x v="6"/>
    <x v="2"/>
    <x v="0"/>
    <x v="3"/>
    <x v="12"/>
    <n v="64090"/>
    <x v="0"/>
    <n v="25"/>
    <x v="0"/>
    <n v="147.33333333333334"/>
  </r>
  <r>
    <n v="14"/>
    <x v="12"/>
    <x v="0"/>
    <x v="4"/>
    <x v="0"/>
    <x v="13"/>
    <n v="679"/>
    <x v="0"/>
    <n v="26"/>
    <x v="0"/>
    <n v="2.0451807228915664"/>
  </r>
  <r>
    <n v="15"/>
    <x v="13"/>
    <x v="2"/>
    <x v="7"/>
    <x v="0"/>
    <x v="14"/>
    <n v="39008"/>
    <x v="2"/>
    <n v="42"/>
    <x v="2"/>
    <n v="101.8485639686684"/>
  </r>
  <r>
    <n v="16"/>
    <x v="14"/>
    <x v="2"/>
    <x v="4"/>
    <x v="1"/>
    <x v="15"/>
    <n v="18796"/>
    <x v="1"/>
    <n v="26"/>
    <x v="0"/>
    <n v="97.388601036269435"/>
  </r>
  <r>
    <n v="17"/>
    <x v="15"/>
    <x v="1"/>
    <x v="7"/>
    <x v="2"/>
    <x v="16"/>
    <n v="65052"/>
    <x v="0"/>
    <n v="42"/>
    <x v="2"/>
    <n v="271.05"/>
  </r>
  <r>
    <n v="18"/>
    <x v="16"/>
    <x v="1"/>
    <x v="9"/>
    <x v="0"/>
    <x v="17"/>
    <n v="38232"/>
    <x v="0"/>
    <n v="49"/>
    <x v="1"/>
    <n v="105.32231404958678"/>
  </r>
  <r>
    <n v="19"/>
    <x v="17"/>
    <x v="1"/>
    <x v="9"/>
    <x v="0"/>
    <x v="18"/>
    <n v="50652"/>
    <x v="1"/>
    <n v="49"/>
    <x v="1"/>
    <n v="114.33860045146727"/>
  </r>
  <r>
    <n v="20"/>
    <x v="18"/>
    <x v="1"/>
    <x v="7"/>
    <x v="3"/>
    <x v="19"/>
    <n v="27140"/>
    <x v="1"/>
    <n v="42"/>
    <x v="2"/>
    <n v="81.993957703927492"/>
  </r>
  <r>
    <n v="21"/>
    <x v="19"/>
    <x v="0"/>
    <x v="7"/>
    <x v="2"/>
    <x v="20"/>
    <n v="11385"/>
    <x v="1"/>
    <n v="42"/>
    <x v="2"/>
    <n v="45.54"/>
  </r>
  <r>
    <n v="22"/>
    <x v="20"/>
    <x v="1"/>
    <x v="9"/>
    <x v="2"/>
    <x v="21"/>
    <n v="33684"/>
    <x v="0"/>
    <n v="49"/>
    <x v="1"/>
    <n v="187.13333333333333"/>
  </r>
  <r>
    <n v="23"/>
    <x v="21"/>
    <x v="2"/>
    <x v="5"/>
    <x v="0"/>
    <x v="22"/>
    <n v="42328"/>
    <x v="0"/>
    <n v="28"/>
    <x v="0"/>
    <n v="470.31111111111113"/>
  </r>
  <r>
    <n v="24"/>
    <x v="22"/>
    <x v="0"/>
    <x v="3"/>
    <x v="2"/>
    <x v="23"/>
    <n v="42873"/>
    <x v="0"/>
    <n v="57"/>
    <x v="1"/>
    <n v="93.609170305676855"/>
  </r>
  <r>
    <n v="25"/>
    <x v="23"/>
    <x v="1"/>
    <x v="4"/>
    <x v="0"/>
    <x v="24"/>
    <n v="31392"/>
    <x v="1"/>
    <n v="26"/>
    <x v="0"/>
    <n v="71.50797266514806"/>
  </r>
  <r>
    <n v="26"/>
    <x v="24"/>
    <x v="1"/>
    <x v="7"/>
    <x v="0"/>
    <x v="25"/>
    <n v="47880"/>
    <x v="1"/>
    <n v="42"/>
    <x v="2"/>
    <n v="117.93103448275862"/>
  </r>
  <r>
    <n v="27"/>
    <x v="25"/>
    <x v="1"/>
    <x v="7"/>
    <x v="3"/>
    <x v="26"/>
    <n v="13490"/>
    <x v="0"/>
    <n v="42"/>
    <x v="2"/>
    <n v="31.966824644549764"/>
  </r>
  <r>
    <n v="28"/>
    <x v="26"/>
    <x v="1"/>
    <x v="3"/>
    <x v="0"/>
    <x v="27"/>
    <n v="7272"/>
    <x v="1"/>
    <n v="57"/>
    <x v="1"/>
    <n v="16.378378378378379"/>
  </r>
  <r>
    <n v="29"/>
    <x v="27"/>
    <x v="1"/>
    <x v="7"/>
    <x v="3"/>
    <x v="28"/>
    <n v="48316"/>
    <x v="0"/>
    <n v="42"/>
    <x v="2"/>
    <n v="96.825651302605209"/>
  </r>
  <r>
    <n v="30"/>
    <x v="28"/>
    <x v="1"/>
    <x v="8"/>
    <x v="0"/>
    <x v="29"/>
    <n v="15132"/>
    <x v="2"/>
    <n v="25"/>
    <x v="0"/>
    <n v="52.179310344827584"/>
  </r>
  <r>
    <n v="31"/>
    <x v="29"/>
    <x v="2"/>
    <x v="7"/>
    <x v="3"/>
    <x v="30"/>
    <n v="5246"/>
    <x v="1"/>
    <n v="42"/>
    <x v="2"/>
    <n v="14.21680216802168"/>
  </r>
  <r>
    <n v="32"/>
    <x v="30"/>
    <x v="3"/>
    <x v="7"/>
    <x v="0"/>
    <x v="31"/>
    <n v="37744"/>
    <x v="1"/>
    <n v="42"/>
    <x v="2"/>
    <n v="97.028277634961441"/>
  </r>
  <r>
    <n v="33"/>
    <x v="31"/>
    <x v="3"/>
    <x v="8"/>
    <x v="3"/>
    <x v="32"/>
    <n v="679"/>
    <x v="0"/>
    <n v="25"/>
    <x v="0"/>
    <n v="1.3287671232876712"/>
  </r>
  <r>
    <n v="34"/>
    <x v="32"/>
    <x v="1"/>
    <x v="6"/>
    <x v="2"/>
    <x v="33"/>
    <n v="48000"/>
    <x v="0"/>
    <n v="28"/>
    <x v="0"/>
    <n v="144.14414414414415"/>
  </r>
  <r>
    <n v="35"/>
    <x v="3"/>
    <x v="1"/>
    <x v="1"/>
    <x v="2"/>
    <x v="34"/>
    <n v="34680"/>
    <x v="1"/>
    <n v="52"/>
    <x v="1"/>
    <n v="133.38461538461539"/>
  </r>
  <r>
    <n v="36"/>
    <x v="33"/>
    <x v="1"/>
    <x v="4"/>
    <x v="2"/>
    <x v="35"/>
    <n v="50274"/>
    <x v="1"/>
    <n v="26"/>
    <x v="0"/>
    <n v="109.29130434782608"/>
  </r>
  <r>
    <n v="37"/>
    <x v="34"/>
    <x v="2"/>
    <x v="9"/>
    <x v="0"/>
    <x v="36"/>
    <n v="43615"/>
    <x v="1"/>
    <n v="49"/>
    <x v="1"/>
    <n v="300.79310344827587"/>
  </r>
  <r>
    <n v="38"/>
    <x v="35"/>
    <x v="1"/>
    <x v="7"/>
    <x v="3"/>
    <x v="37"/>
    <n v="14076"/>
    <x v="0"/>
    <n v="42"/>
    <x v="2"/>
    <n v="122.4"/>
  </r>
  <r>
    <n v="39"/>
    <x v="36"/>
    <x v="2"/>
    <x v="2"/>
    <x v="0"/>
    <x v="38"/>
    <n v="12870"/>
    <x v="0"/>
    <n v="36"/>
    <x v="2"/>
    <n v="51.895161290322584"/>
  </r>
  <r>
    <n v="40"/>
    <x v="37"/>
    <x v="3"/>
    <x v="1"/>
    <x v="0"/>
    <x v="39"/>
    <n v="679"/>
    <x v="1"/>
    <n v="52"/>
    <x v="1"/>
    <n v="4.1151515151515152"/>
  </r>
  <r>
    <n v="41"/>
    <x v="38"/>
    <x v="1"/>
    <x v="7"/>
    <x v="1"/>
    <x v="40"/>
    <n v="35280"/>
    <x v="1"/>
    <n v="42"/>
    <x v="2"/>
    <n v="691.76470588235293"/>
  </r>
  <r>
    <n v="42"/>
    <x v="39"/>
    <x v="2"/>
    <x v="7"/>
    <x v="0"/>
    <x v="41"/>
    <n v="37490"/>
    <x v="1"/>
    <n v="42"/>
    <x v="2"/>
    <n v="98.141361256544499"/>
  </r>
  <r>
    <n v="43"/>
    <x v="40"/>
    <x v="2"/>
    <x v="7"/>
    <x v="0"/>
    <x v="42"/>
    <n v="679"/>
    <x v="1"/>
    <n v="42"/>
    <x v="2"/>
    <n v="1.9180790960451977"/>
  </r>
  <r>
    <n v="44"/>
    <x v="41"/>
    <x v="3"/>
    <x v="1"/>
    <x v="1"/>
    <x v="43"/>
    <n v="46068"/>
    <x v="0"/>
    <n v="52"/>
    <x v="1"/>
    <n v="125.18478260869566"/>
  </r>
  <r>
    <n v="45"/>
    <x v="42"/>
    <x v="1"/>
    <x v="2"/>
    <x v="3"/>
    <x v="44"/>
    <n v="11078"/>
    <x v="0"/>
    <n v="36"/>
    <x v="2"/>
    <n v="140.22784810126583"/>
  </r>
  <r>
    <n v="46"/>
    <x v="43"/>
    <x v="1"/>
    <x v="5"/>
    <x v="0"/>
    <x v="45"/>
    <n v="32045"/>
    <x v="0"/>
    <n v="28"/>
    <x v="0"/>
    <n v="138.72294372294371"/>
  </r>
  <r>
    <n v="47"/>
    <x v="44"/>
    <x v="3"/>
    <x v="3"/>
    <x v="0"/>
    <x v="46"/>
    <n v="33284"/>
    <x v="0"/>
    <n v="57"/>
    <x v="1"/>
    <n v="115.56944444444444"/>
  </r>
  <r>
    <n v="48"/>
    <x v="45"/>
    <x v="2"/>
    <x v="4"/>
    <x v="3"/>
    <x v="47"/>
    <n v="11954"/>
    <x v="0"/>
    <n v="26"/>
    <x v="0"/>
    <n v="55.859813084112147"/>
  </r>
  <r>
    <n v="49"/>
    <x v="5"/>
    <x v="0"/>
    <x v="4"/>
    <x v="2"/>
    <x v="48"/>
    <n v="36708"/>
    <x v="1"/>
    <n v="26"/>
    <x v="0"/>
    <n v="496.05405405405406"/>
  </r>
  <r>
    <n v="50"/>
    <x v="46"/>
    <x v="2"/>
    <x v="0"/>
    <x v="1"/>
    <x v="49"/>
    <n v="30600"/>
    <x v="1"/>
    <n v="25"/>
    <x v="0"/>
    <n v="172.88135593220338"/>
  </r>
  <r>
    <n v="51"/>
    <x v="47"/>
    <x v="0"/>
    <x v="3"/>
    <x v="2"/>
    <x v="50"/>
    <n v="13568"/>
    <x v="0"/>
    <n v="57"/>
    <x v="1"/>
    <n v="37.899441340782126"/>
  </r>
  <r>
    <n v="52"/>
    <x v="5"/>
    <x v="0"/>
    <x v="7"/>
    <x v="2"/>
    <x v="51"/>
    <n v="33344"/>
    <x v="1"/>
    <n v="42"/>
    <x v="2"/>
    <n v="97.212827988338191"/>
  </r>
  <r>
    <n v="53"/>
    <x v="48"/>
    <x v="3"/>
    <x v="7"/>
    <x v="2"/>
    <x v="52"/>
    <n v="3960"/>
    <x v="1"/>
    <n v="42"/>
    <x v="2"/>
    <n v="62.857142857142854"/>
  </r>
  <r>
    <n v="54"/>
    <x v="49"/>
    <x v="1"/>
    <x v="6"/>
    <x v="0"/>
    <x v="53"/>
    <n v="58208"/>
    <x v="1"/>
    <n v="28"/>
    <x v="0"/>
    <n v="135.68298368298369"/>
  </r>
  <r>
    <n v="55"/>
    <x v="50"/>
    <x v="0"/>
    <x v="7"/>
    <x v="1"/>
    <x v="54"/>
    <n v="59458"/>
    <x v="1"/>
    <n v="42"/>
    <x v="2"/>
    <n v="121.09572301425662"/>
  </r>
  <r>
    <n v="56"/>
    <x v="51"/>
    <x v="1"/>
    <x v="7"/>
    <x v="0"/>
    <x v="55"/>
    <n v="13872"/>
    <x v="0"/>
    <n v="42"/>
    <x v="2"/>
    <n v="40.325581395348834"/>
  </r>
  <r>
    <n v="57"/>
    <x v="22"/>
    <x v="1"/>
    <x v="0"/>
    <x v="1"/>
    <x v="56"/>
    <n v="57706"/>
    <x v="0"/>
    <n v="25"/>
    <x v="0"/>
    <n v="226.29803921568629"/>
  </r>
  <r>
    <n v="58"/>
    <x v="52"/>
    <x v="0"/>
    <x v="7"/>
    <x v="0"/>
    <x v="57"/>
    <n v="59248"/>
    <x v="0"/>
    <n v="42"/>
    <x v="2"/>
    <n v="370.3"/>
  </r>
  <r>
    <n v="59"/>
    <x v="53"/>
    <x v="2"/>
    <x v="0"/>
    <x v="3"/>
    <x v="58"/>
    <n v="29440"/>
    <x v="1"/>
    <n v="25"/>
    <x v="0"/>
    <n v="91.428571428571431"/>
  </r>
  <r>
    <n v="60"/>
    <x v="54"/>
    <x v="2"/>
    <x v="0"/>
    <x v="2"/>
    <x v="4"/>
    <n v="679"/>
    <x v="1"/>
    <n v="25"/>
    <x v="0"/>
    <n v="3.8146067415730336"/>
  </r>
  <r>
    <n v="61"/>
    <x v="26"/>
    <x v="1"/>
    <x v="1"/>
    <x v="0"/>
    <x v="59"/>
    <n v="8475"/>
    <x v="0"/>
    <n v="52"/>
    <x v="1"/>
    <n v="56.12582781456954"/>
  </r>
  <r>
    <n v="62"/>
    <x v="5"/>
    <x v="1"/>
    <x v="3"/>
    <x v="2"/>
    <x v="60"/>
    <n v="44330"/>
    <x v="1"/>
    <n v="57"/>
    <x v="1"/>
    <n v="82.859813084112147"/>
  </r>
  <r>
    <n v="63"/>
    <x v="49"/>
    <x v="3"/>
    <x v="0"/>
    <x v="0"/>
    <x v="61"/>
    <n v="3186"/>
    <x v="0"/>
    <n v="25"/>
    <x v="0"/>
    <n v="10.445901639344262"/>
  </r>
  <r>
    <n v="64"/>
    <x v="55"/>
    <x v="1"/>
    <x v="0"/>
    <x v="3"/>
    <x v="62"/>
    <n v="679"/>
    <x v="0"/>
    <n v="25"/>
    <x v="0"/>
    <n v="3.6117021276595747"/>
  </r>
  <r>
    <n v="65"/>
    <x v="56"/>
    <x v="3"/>
    <x v="7"/>
    <x v="0"/>
    <x v="63"/>
    <n v="679"/>
    <x v="1"/>
    <n v="42"/>
    <x v="2"/>
    <n v="1.3717171717171717"/>
  </r>
  <r>
    <n v="66"/>
    <x v="57"/>
    <x v="1"/>
    <x v="5"/>
    <x v="3"/>
    <x v="64"/>
    <n v="28050"/>
    <x v="0"/>
    <n v="28"/>
    <x v="0"/>
    <n v="147.63157894736841"/>
  </r>
  <r>
    <n v="67"/>
    <x v="58"/>
    <x v="1"/>
    <x v="4"/>
    <x v="0"/>
    <x v="32"/>
    <n v="16698"/>
    <x v="2"/>
    <n v="26"/>
    <x v="0"/>
    <n v="32.677103718199611"/>
  </r>
  <r>
    <n v="68"/>
    <x v="5"/>
    <x v="0"/>
    <x v="9"/>
    <x v="0"/>
    <x v="65"/>
    <n v="27956"/>
    <x v="2"/>
    <n v="49"/>
    <x v="1"/>
    <n v="90.766233766233768"/>
  </r>
  <r>
    <n v="69"/>
    <x v="59"/>
    <x v="3"/>
    <x v="2"/>
    <x v="1"/>
    <x v="66"/>
    <n v="679"/>
    <x v="1"/>
    <n v="36"/>
    <x v="2"/>
    <n v="3.7103825136612021"/>
  </r>
  <r>
    <n v="70"/>
    <x v="60"/>
    <x v="2"/>
    <x v="7"/>
    <x v="1"/>
    <x v="67"/>
    <n v="36984"/>
    <x v="0"/>
    <n v="42"/>
    <x v="2"/>
    <n v="110.4"/>
  </r>
  <r>
    <n v="71"/>
    <x v="5"/>
    <x v="2"/>
    <x v="9"/>
    <x v="1"/>
    <x v="68"/>
    <n v="46800"/>
    <x v="1"/>
    <n v="49"/>
    <x v="1"/>
    <n v="492.63157894736844"/>
  </r>
  <r>
    <n v="72"/>
    <x v="61"/>
    <x v="2"/>
    <x v="7"/>
    <x v="1"/>
    <x v="69"/>
    <n v="7125"/>
    <x v="1"/>
    <n v="42"/>
    <x v="2"/>
    <n v="32.683486238532112"/>
  </r>
  <r>
    <n v="73"/>
    <x v="62"/>
    <x v="1"/>
    <x v="7"/>
    <x v="2"/>
    <x v="70"/>
    <n v="12320"/>
    <x v="0"/>
    <n v="42"/>
    <x v="2"/>
    <n v="46.490566037735846"/>
  </r>
  <r>
    <n v="74"/>
    <x v="63"/>
    <x v="1"/>
    <x v="1"/>
    <x v="3"/>
    <x v="71"/>
    <n v="42028"/>
    <x v="0"/>
    <n v="52"/>
    <x v="1"/>
    <n v="197.31455399061034"/>
  </r>
  <r>
    <n v="75"/>
    <x v="64"/>
    <x v="1"/>
    <x v="6"/>
    <x v="0"/>
    <x v="72"/>
    <n v="679"/>
    <x v="1"/>
    <n v="28"/>
    <x v="0"/>
    <n v="5.3046875"/>
  </r>
  <r>
    <n v="76"/>
    <x v="8"/>
    <x v="2"/>
    <x v="0"/>
    <x v="3"/>
    <x v="73"/>
    <n v="25758"/>
    <x v="2"/>
    <n v="25"/>
    <x v="0"/>
    <n v="123.83653846153847"/>
  </r>
  <r>
    <n v="77"/>
    <x v="65"/>
    <x v="1"/>
    <x v="7"/>
    <x v="1"/>
    <x v="37"/>
    <n v="34804"/>
    <x v="0"/>
    <n v="42"/>
    <x v="2"/>
    <n v="302.64347826086959"/>
  </r>
  <r>
    <n v="78"/>
    <x v="17"/>
    <x v="0"/>
    <x v="4"/>
    <x v="0"/>
    <x v="74"/>
    <n v="679"/>
    <x v="0"/>
    <n v="26"/>
    <x v="0"/>
    <n v="1.4602150537634409"/>
  </r>
  <r>
    <n v="79"/>
    <x v="66"/>
    <x v="3"/>
    <x v="7"/>
    <x v="2"/>
    <x v="75"/>
    <n v="45312"/>
    <x v="1"/>
    <n v="42"/>
    <x v="2"/>
    <n v="87.306358381502889"/>
  </r>
  <r>
    <n v="80"/>
    <x v="5"/>
    <x v="0"/>
    <x v="3"/>
    <x v="2"/>
    <x v="76"/>
    <n v="44525"/>
    <x v="2"/>
    <n v="57"/>
    <x v="1"/>
    <n v="117.17105263157895"/>
  </r>
  <r>
    <n v="81"/>
    <x v="10"/>
    <x v="3"/>
    <x v="7"/>
    <x v="0"/>
    <x v="77"/>
    <n v="3132"/>
    <x v="1"/>
    <n v="42"/>
    <x v="2"/>
    <n v="97.875"/>
  </r>
  <r>
    <n v="82"/>
    <x v="67"/>
    <x v="3"/>
    <x v="0"/>
    <x v="1"/>
    <x v="78"/>
    <n v="16740"/>
    <x v="0"/>
    <n v="25"/>
    <x v="0"/>
    <n v="128.76923076923077"/>
  </r>
  <r>
    <n v="83"/>
    <x v="18"/>
    <x v="1"/>
    <x v="4"/>
    <x v="2"/>
    <x v="79"/>
    <n v="65250"/>
    <x v="0"/>
    <n v="26"/>
    <x v="0"/>
    <n v="119.72477064220183"/>
  </r>
  <r>
    <n v="84"/>
    <x v="68"/>
    <x v="1"/>
    <x v="5"/>
    <x v="3"/>
    <x v="80"/>
    <n v="10688"/>
    <x v="0"/>
    <n v="28"/>
    <x v="0"/>
    <n v="127.23809523809524"/>
  </r>
  <r>
    <n v="85"/>
    <x v="69"/>
    <x v="1"/>
    <x v="7"/>
    <x v="3"/>
    <x v="81"/>
    <n v="18648"/>
    <x v="0"/>
    <n v="42"/>
    <x v="2"/>
    <n v="97.125"/>
  </r>
  <r>
    <n v="86"/>
    <x v="70"/>
    <x v="0"/>
    <x v="5"/>
    <x v="0"/>
    <x v="82"/>
    <n v="5822"/>
    <x v="1"/>
    <n v="28"/>
    <x v="0"/>
    <n v="97.033333333333331"/>
  </r>
  <r>
    <n v="87"/>
    <x v="71"/>
    <x v="1"/>
    <x v="7"/>
    <x v="1"/>
    <x v="83"/>
    <n v="51221"/>
    <x v="0"/>
    <n v="42"/>
    <x v="2"/>
    <n v="245.07655502392345"/>
  </r>
  <r>
    <n v="88"/>
    <x v="72"/>
    <x v="2"/>
    <x v="5"/>
    <x v="1"/>
    <x v="84"/>
    <n v="75332"/>
    <x v="0"/>
    <n v="28"/>
    <x v="0"/>
    <n v="285.34848484848487"/>
  </r>
  <r>
    <n v="89"/>
    <x v="73"/>
    <x v="1"/>
    <x v="4"/>
    <x v="3"/>
    <x v="85"/>
    <n v="679"/>
    <x v="0"/>
    <n v="26"/>
    <x v="0"/>
    <n v="7"/>
  </r>
  <r>
    <n v="90"/>
    <x v="74"/>
    <x v="1"/>
    <x v="4"/>
    <x v="1"/>
    <x v="86"/>
    <n v="13310"/>
    <x v="0"/>
    <n v="26"/>
    <x v="0"/>
    <n v="32.945544554455445"/>
  </r>
  <r>
    <n v="91"/>
    <x v="75"/>
    <x v="2"/>
    <x v="7"/>
    <x v="2"/>
    <x v="87"/>
    <n v="47952"/>
    <x v="1"/>
    <n v="42"/>
    <x v="2"/>
    <n v="124.2279792746114"/>
  </r>
  <r>
    <n v="92"/>
    <x v="76"/>
    <x v="0"/>
    <x v="0"/>
    <x v="2"/>
    <x v="47"/>
    <n v="4984"/>
    <x v="1"/>
    <n v="25"/>
    <x v="0"/>
    <n v="23.289719626168225"/>
  </r>
  <r>
    <n v="93"/>
    <x v="77"/>
    <x v="0"/>
    <x v="6"/>
    <x v="0"/>
    <x v="88"/>
    <n v="4131"/>
    <x v="1"/>
    <n v="28"/>
    <x v="0"/>
    <n v="11.28688524590164"/>
  </r>
  <r>
    <n v="94"/>
    <x v="78"/>
    <x v="2"/>
    <x v="8"/>
    <x v="0"/>
    <x v="89"/>
    <n v="24549"/>
    <x v="1"/>
    <n v="25"/>
    <x v="0"/>
    <n v="141.90173410404626"/>
  </r>
  <r>
    <n v="95"/>
    <x v="79"/>
    <x v="2"/>
    <x v="7"/>
    <x v="1"/>
    <x v="90"/>
    <n v="679"/>
    <x v="0"/>
    <n v="42"/>
    <x v="2"/>
    <n v="2.2189542483660132"/>
  </r>
  <r>
    <n v="96"/>
    <x v="80"/>
    <x v="2"/>
    <x v="5"/>
    <x v="0"/>
    <x v="72"/>
    <n v="35088"/>
    <x v="1"/>
    <n v="28"/>
    <x v="0"/>
    <n v="274.125"/>
  </r>
  <r>
    <n v="97"/>
    <x v="81"/>
    <x v="1"/>
    <x v="0"/>
    <x v="3"/>
    <x v="43"/>
    <n v="25254"/>
    <x v="0"/>
    <n v="25"/>
    <x v="0"/>
    <n v="68.625"/>
  </r>
  <r>
    <n v="98"/>
    <x v="82"/>
    <x v="1"/>
    <x v="3"/>
    <x v="2"/>
    <x v="91"/>
    <n v="17500"/>
    <x v="1"/>
    <n v="57"/>
    <x v="1"/>
    <n v="78.828828828828833"/>
  </r>
  <r>
    <n v="99"/>
    <x v="83"/>
    <x v="1"/>
    <x v="7"/>
    <x v="3"/>
    <x v="92"/>
    <n v="36934"/>
    <x v="0"/>
    <n v="42"/>
    <x v="2"/>
    <n v="170.99074074074073"/>
  </r>
  <r>
    <n v="100"/>
    <x v="26"/>
    <x v="1"/>
    <x v="1"/>
    <x v="3"/>
    <x v="93"/>
    <n v="679"/>
    <x v="0"/>
    <n v="52"/>
    <x v="1"/>
    <n v="2.2117263843648209"/>
  </r>
  <r>
    <n v="101"/>
    <x v="15"/>
    <x v="0"/>
    <x v="0"/>
    <x v="1"/>
    <x v="94"/>
    <n v="40565"/>
    <x v="0"/>
    <n v="25"/>
    <x v="0"/>
    <n v="105.63802083333333"/>
  </r>
  <r>
    <n v="102"/>
    <x v="84"/>
    <x v="3"/>
    <x v="4"/>
    <x v="0"/>
    <x v="95"/>
    <n v="679"/>
    <x v="0"/>
    <n v="26"/>
    <x v="0"/>
    <n v="1.8058510638297873"/>
  </r>
  <r>
    <n v="103"/>
    <x v="85"/>
    <x v="3"/>
    <x v="3"/>
    <x v="0"/>
    <x v="85"/>
    <n v="679"/>
    <x v="0"/>
    <n v="57"/>
    <x v="1"/>
    <n v="7"/>
  </r>
  <r>
    <n v="104"/>
    <x v="86"/>
    <x v="1"/>
    <x v="7"/>
    <x v="2"/>
    <x v="96"/>
    <n v="12753"/>
    <x v="1"/>
    <n v="42"/>
    <x v="2"/>
    <n v="35.523676880222844"/>
  </r>
  <r>
    <n v="105"/>
    <x v="5"/>
    <x v="2"/>
    <x v="7"/>
    <x v="2"/>
    <x v="97"/>
    <n v="16864"/>
    <x v="1"/>
    <n v="42"/>
    <x v="2"/>
    <n v="53.031446540880502"/>
  </r>
  <r>
    <n v="106"/>
    <x v="87"/>
    <x v="0"/>
    <x v="7"/>
    <x v="0"/>
    <x v="40"/>
    <n v="56888"/>
    <x v="0"/>
    <n v="42"/>
    <x v="2"/>
    <n v="1115.4509803921569"/>
  </r>
  <r>
    <n v="107"/>
    <x v="88"/>
    <x v="3"/>
    <x v="5"/>
    <x v="2"/>
    <x v="98"/>
    <n v="679"/>
    <x v="2"/>
    <n v="28"/>
    <x v="0"/>
    <n v="2.8771186440677967"/>
  </r>
  <r>
    <n v="108"/>
    <x v="89"/>
    <x v="1"/>
    <x v="7"/>
    <x v="0"/>
    <x v="47"/>
    <n v="31122"/>
    <x v="1"/>
    <n v="42"/>
    <x v="2"/>
    <n v="145.42990654205607"/>
  </r>
  <r>
    <n v="109"/>
    <x v="90"/>
    <x v="3"/>
    <x v="6"/>
    <x v="0"/>
    <x v="99"/>
    <n v="25853"/>
    <x v="0"/>
    <n v="28"/>
    <x v="0"/>
    <n v="300.61627906976742"/>
  </r>
  <r>
    <n v="110"/>
    <x v="91"/>
    <x v="1"/>
    <x v="1"/>
    <x v="2"/>
    <x v="100"/>
    <n v="11092"/>
    <x v="0"/>
    <n v="52"/>
    <x v="1"/>
    <n v="71.561290322580646"/>
  </r>
  <r>
    <n v="111"/>
    <x v="84"/>
    <x v="2"/>
    <x v="4"/>
    <x v="3"/>
    <x v="101"/>
    <n v="4221"/>
    <x v="1"/>
    <n v="26"/>
    <x v="0"/>
    <n v="13.231974921630094"/>
  </r>
  <r>
    <n v="112"/>
    <x v="92"/>
    <x v="3"/>
    <x v="8"/>
    <x v="0"/>
    <x v="102"/>
    <n v="31500"/>
    <x v="1"/>
    <n v="25"/>
    <x v="0"/>
    <n v="508.06451612903226"/>
  </r>
  <r>
    <n v="113"/>
    <x v="93"/>
    <x v="3"/>
    <x v="4"/>
    <x v="0"/>
    <x v="103"/>
    <n v="31414"/>
    <x v="0"/>
    <n v="26"/>
    <x v="0"/>
    <n v="387.82716049382714"/>
  </r>
  <r>
    <n v="114"/>
    <x v="94"/>
    <x v="2"/>
    <x v="3"/>
    <x v="0"/>
    <x v="104"/>
    <n v="40446"/>
    <x v="2"/>
    <n v="57"/>
    <x v="1"/>
    <n v="321"/>
  </r>
  <r>
    <n v="115"/>
    <x v="60"/>
    <x v="1"/>
    <x v="4"/>
    <x v="0"/>
    <x v="105"/>
    <n v="42432"/>
    <x v="0"/>
    <n v="26"/>
    <x v="0"/>
    <n v="78.432532347504619"/>
  </r>
  <r>
    <n v="116"/>
    <x v="95"/>
    <x v="2"/>
    <x v="5"/>
    <x v="1"/>
    <x v="106"/>
    <n v="64635"/>
    <x v="1"/>
    <n v="28"/>
    <x v="0"/>
    <n v="97.049549549549553"/>
  </r>
  <r>
    <n v="117"/>
    <x v="96"/>
    <x v="2"/>
    <x v="4"/>
    <x v="3"/>
    <x v="107"/>
    <n v="51168"/>
    <x v="1"/>
    <n v="26"/>
    <x v="0"/>
    <n v="97.092979127134726"/>
  </r>
  <r>
    <n v="118"/>
    <x v="97"/>
    <x v="1"/>
    <x v="7"/>
    <x v="0"/>
    <x v="108"/>
    <n v="24948"/>
    <x v="1"/>
    <n v="42"/>
    <x v="2"/>
    <n v="86.325259515570934"/>
  </r>
  <r>
    <n v="119"/>
    <x v="72"/>
    <x v="1"/>
    <x v="3"/>
    <x v="3"/>
    <x v="109"/>
    <n v="56118"/>
    <x v="2"/>
    <n v="57"/>
    <x v="1"/>
    <n v="282"/>
  </r>
  <r>
    <n v="120"/>
    <x v="98"/>
    <x v="3"/>
    <x v="2"/>
    <x v="0"/>
    <x v="110"/>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C6735-0D8A-4673-A051-649C34C13E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items count="112">
        <item x="77"/>
        <item x="40"/>
        <item x="8"/>
        <item x="82"/>
        <item x="102"/>
        <item x="52"/>
        <item x="6"/>
        <item x="48"/>
        <item x="44"/>
        <item x="103"/>
        <item x="80"/>
        <item x="99"/>
        <item x="22"/>
        <item x="68"/>
        <item x="85"/>
        <item x="37"/>
        <item x="104"/>
        <item x="72"/>
        <item x="78"/>
        <item x="36"/>
        <item x="59"/>
        <item x="100"/>
        <item x="57"/>
        <item x="39"/>
        <item x="89"/>
        <item x="49"/>
        <item x="4"/>
        <item x="21"/>
        <item x="66"/>
        <item x="62"/>
        <item x="64"/>
        <item x="81"/>
        <item x="15"/>
        <item x="109"/>
        <item x="73"/>
        <item x="83"/>
        <item x="71"/>
        <item x="47"/>
        <item x="92"/>
        <item x="69"/>
        <item x="91"/>
        <item x="45"/>
        <item x="98"/>
        <item x="16"/>
        <item x="38"/>
        <item x="20"/>
        <item x="56"/>
        <item x="34"/>
        <item x="84"/>
        <item x="70"/>
        <item x="46"/>
        <item x="108"/>
        <item x="29"/>
        <item x="61"/>
        <item x="90"/>
        <item x="93"/>
        <item x="65"/>
        <item x="97"/>
        <item x="101"/>
        <item x="58"/>
        <item x="19"/>
        <item x="13"/>
        <item x="33"/>
        <item x="67"/>
        <item x="51"/>
        <item x="55"/>
        <item x="42"/>
        <item x="50"/>
        <item x="96"/>
        <item x="17"/>
        <item x="88"/>
        <item x="43"/>
        <item x="30"/>
        <item x="95"/>
        <item x="76"/>
        <item x="41"/>
        <item x="14"/>
        <item x="94"/>
        <item x="87"/>
        <item x="31"/>
        <item x="9"/>
        <item x="5"/>
        <item x="86"/>
        <item x="25"/>
        <item x="0"/>
        <item x="26"/>
        <item x="53"/>
        <item x="1"/>
        <item x="12"/>
        <item x="24"/>
        <item x="18"/>
        <item x="27"/>
        <item x="7"/>
        <item x="23"/>
        <item x="3"/>
        <item x="35"/>
        <item x="11"/>
        <item x="74"/>
        <item x="2"/>
        <item x="54"/>
        <item x="10"/>
        <item x="63"/>
        <item x="110"/>
        <item x="28"/>
        <item x="32"/>
        <item x="75"/>
        <item x="107"/>
        <item x="60"/>
        <item x="105"/>
        <item x="79"/>
        <item x="106"/>
        <item t="default"/>
      </items>
    </pivotField>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formats count="2">
    <format dxfId="1">
      <pivotArea collapsedLevelsAreSubtotals="1" fieldPosition="0">
        <references count="1">
          <reference field="4" count="0"/>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CA6D0B-757E-4D1F-8BDC-D4239896DA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nager">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C4D8B-6FD1-43DA-B6ED-980727E6DC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CE708-FF19-422C-96D3-48850D4ADF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items count="112">
        <item x="77"/>
        <item x="40"/>
        <item x="8"/>
        <item x="82"/>
        <item x="102"/>
        <item x="52"/>
        <item x="6"/>
        <item x="48"/>
        <item x="44"/>
        <item x="103"/>
        <item x="80"/>
        <item x="99"/>
        <item x="22"/>
        <item x="68"/>
        <item x="85"/>
        <item x="37"/>
        <item x="104"/>
        <item x="72"/>
        <item x="78"/>
        <item x="36"/>
        <item x="59"/>
        <item x="100"/>
        <item x="57"/>
        <item x="39"/>
        <item x="89"/>
        <item x="49"/>
        <item x="4"/>
        <item x="21"/>
        <item x="66"/>
        <item x="62"/>
        <item x="64"/>
        <item x="81"/>
        <item x="15"/>
        <item x="109"/>
        <item x="73"/>
        <item x="83"/>
        <item x="71"/>
        <item x="47"/>
        <item x="92"/>
        <item x="69"/>
        <item x="91"/>
        <item x="45"/>
        <item x="98"/>
        <item x="16"/>
        <item x="38"/>
        <item x="20"/>
        <item x="56"/>
        <item x="34"/>
        <item x="84"/>
        <item x="70"/>
        <item x="46"/>
        <item x="108"/>
        <item x="29"/>
        <item x="61"/>
        <item x="90"/>
        <item x="93"/>
        <item x="65"/>
        <item x="97"/>
        <item x="101"/>
        <item x="58"/>
        <item x="19"/>
        <item x="13"/>
        <item x="33"/>
        <item x="67"/>
        <item x="51"/>
        <item x="55"/>
        <item x="42"/>
        <item x="50"/>
        <item x="96"/>
        <item x="17"/>
        <item x="88"/>
        <item x="43"/>
        <item x="30"/>
        <item x="95"/>
        <item x="76"/>
        <item x="41"/>
        <item x="14"/>
        <item x="94"/>
        <item x="87"/>
        <item x="31"/>
        <item x="9"/>
        <item x="5"/>
        <item x="86"/>
        <item x="25"/>
        <item x="0"/>
        <item x="26"/>
        <item x="53"/>
        <item x="1"/>
        <item x="12"/>
        <item x="24"/>
        <item x="18"/>
        <item x="27"/>
        <item x="7"/>
        <item x="23"/>
        <item x="3"/>
        <item x="35"/>
        <item x="11"/>
        <item x="74"/>
        <item x="2"/>
        <item x="54"/>
        <item x="10"/>
        <item x="63"/>
        <item x="110"/>
        <item x="28"/>
        <item x="32"/>
        <item x="75"/>
        <item x="107"/>
        <item x="60"/>
        <item x="105"/>
        <item x="79"/>
        <item x="106"/>
        <item t="default"/>
      </items>
    </pivotField>
    <pivotField showAll="0"/>
    <pivotField showAll="0"/>
    <pivotField showAll="0"/>
    <pivotField showAll="0"/>
    <pivotField dataField="1"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A20804-DC0B-47CD-8A13-20B0CDD5D87D}" sourceName="Region">
  <pivotTables>
    <pivotTable tabId="4" name="PivotTable2"/>
    <pivotTable tabId="6" name="PivotTable3"/>
    <pivotTable tabId="7" name="PivotTable4"/>
    <pivotTable tabId="8" name="PivotTable4"/>
  </pivotTables>
  <data>
    <tabular pivotCacheId="83617631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6F3ECC-83F4-4047-9501-2E64897FD76F}" sourceName="Gender">
  <pivotTables>
    <pivotTable tabId="4" name="PivotTable2"/>
  </pivotTables>
  <data>
    <tabular pivotCacheId="8361763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EB63BB6A-5AA6-4BF5-9F2A-8F75256E091E}" sourceName="Quarters (ProductionDate)">
  <pivotTables>
    <pivotTable tabId="4" name="PivotTable2"/>
  </pivotTables>
  <data>
    <tabular pivotCacheId="836176315">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6AD4401-3721-4FBA-916D-8A5A5A52A6EE}" sourceName="Age Group">
  <pivotTables>
    <pivotTable tabId="4" name="PivotTable2"/>
  </pivotTables>
  <data>
    <tabular pivotCacheId="8361763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1200E8-0DDA-4F9D-96B5-AE621C273183}" cache="Slicer_Region" caption="Region" rowHeight="234950"/>
  <slicer name="Gender" xr10:uid="{EF36395E-8DCB-455F-BF4E-E3A8BA88361D}" cache="Slicer_Gender" caption="Gender" rowHeight="234950"/>
  <slicer name="Quarters (ProductionDate)" xr10:uid="{F8903C6E-600C-419A-919A-585EC45A7A7E}" cache="Slicer_Quarters__ProductionDate" caption="Quarters (ProductionDate)" rowHeight="234950"/>
  <slicer name="Age Group" xr10:uid="{53BD8437-0F28-4EDD-994E-805BF02EEAB8}"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A718-1E17-4E26-98D2-0C9E45BCAE2D}">
  <dimension ref="A1:E121"/>
  <sheetViews>
    <sheetView workbookViewId="0">
      <selection activeCell="D12" sqref="D12"/>
    </sheetView>
  </sheetViews>
  <sheetFormatPr defaultRowHeight="14.4" x14ac:dyDescent="0.3"/>
  <cols>
    <col min="1" max="1" width="16.5546875" customWidth="1"/>
    <col min="2" max="2" width="34.88671875" style="1" bestFit="1" customWidth="1"/>
    <col min="3" max="3" width="18.6640625" style="1" bestFit="1" customWidth="1"/>
    <col min="4" max="4" width="60.6640625" style="1" bestFit="1" customWidth="1"/>
    <col min="5" max="5" width="13.88671875" bestFit="1" customWidth="1"/>
  </cols>
  <sheetData>
    <row r="1" spans="1:5" x14ac:dyDescent="0.3">
      <c r="A1" t="s">
        <v>3</v>
      </c>
      <c r="B1" s="1" t="s">
        <v>33</v>
      </c>
      <c r="D1" s="1" t="s">
        <v>30</v>
      </c>
      <c r="E1" t="s">
        <v>30</v>
      </c>
    </row>
    <row r="2" spans="1:5" x14ac:dyDescent="0.3">
      <c r="A2" t="s">
        <v>20</v>
      </c>
      <c r="E2">
        <v>26</v>
      </c>
    </row>
    <row r="3" spans="1:5" x14ac:dyDescent="0.3">
      <c r="A3" t="s">
        <v>24</v>
      </c>
      <c r="E3">
        <v>42</v>
      </c>
    </row>
    <row r="4" spans="1:5" x14ac:dyDescent="0.3">
      <c r="A4" t="s">
        <v>13</v>
      </c>
      <c r="E4">
        <v>52</v>
      </c>
    </row>
    <row r="5" spans="1:5" x14ac:dyDescent="0.3">
      <c r="A5" t="s">
        <v>25</v>
      </c>
      <c r="E5">
        <v>25</v>
      </c>
    </row>
    <row r="6" spans="1:5" x14ac:dyDescent="0.3">
      <c r="A6" t="s">
        <v>21</v>
      </c>
      <c r="E6">
        <v>28</v>
      </c>
    </row>
    <row r="7" spans="1:5" x14ac:dyDescent="0.3">
      <c r="A7" t="s">
        <v>19</v>
      </c>
      <c r="E7">
        <v>57</v>
      </c>
    </row>
    <row r="8" spans="1:5" x14ac:dyDescent="0.3">
      <c r="A8" t="s">
        <v>9</v>
      </c>
      <c r="E8">
        <v>25</v>
      </c>
    </row>
    <row r="9" spans="1:5" x14ac:dyDescent="0.3">
      <c r="A9" t="s">
        <v>22</v>
      </c>
      <c r="E9">
        <v>28</v>
      </c>
    </row>
    <row r="10" spans="1:5" x14ac:dyDescent="0.3">
      <c r="A10" t="s">
        <v>26</v>
      </c>
      <c r="E10">
        <v>49</v>
      </c>
    </row>
    <row r="11" spans="1:5" x14ac:dyDescent="0.3">
      <c r="A11" t="s">
        <v>16</v>
      </c>
      <c r="E11">
        <v>36</v>
      </c>
    </row>
    <row r="12" spans="1:5" x14ac:dyDescent="0.3">
      <c r="B12" s="1" t="s">
        <v>31</v>
      </c>
      <c r="D12" s="1" t="s">
        <v>32</v>
      </c>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A9843-C966-4963-88CD-846EDE3436BB}">
  <dimension ref="H1:AE61"/>
  <sheetViews>
    <sheetView showGridLines="0" topLeftCell="F1" zoomScale="81" workbookViewId="0">
      <selection activeCell="AI25" sqref="AI25"/>
    </sheetView>
  </sheetViews>
  <sheetFormatPr defaultRowHeight="14.4" x14ac:dyDescent="0.3"/>
  <sheetData>
    <row r="1" spans="8:31" x14ac:dyDescent="0.3">
      <c r="H1" s="16" t="s">
        <v>56</v>
      </c>
      <c r="I1" s="17"/>
      <c r="J1" s="17"/>
      <c r="K1" s="17"/>
      <c r="L1" s="17"/>
      <c r="M1" s="17"/>
      <c r="N1" s="17"/>
      <c r="O1" s="17"/>
      <c r="P1" s="17"/>
      <c r="Q1" s="17"/>
      <c r="R1" s="17"/>
      <c r="S1" s="17"/>
      <c r="T1" s="17"/>
      <c r="U1" s="17"/>
      <c r="V1" s="17"/>
      <c r="W1" s="17"/>
      <c r="X1" s="17"/>
      <c r="Y1" s="17"/>
      <c r="Z1" s="17"/>
      <c r="AA1" s="17"/>
      <c r="AB1" s="17"/>
      <c r="AC1" s="17"/>
      <c r="AD1" s="17"/>
      <c r="AE1" s="18"/>
    </row>
    <row r="2" spans="8:31" x14ac:dyDescent="0.3">
      <c r="H2" s="19"/>
      <c r="I2" s="20"/>
      <c r="J2" s="20"/>
      <c r="K2" s="20"/>
      <c r="L2" s="20"/>
      <c r="M2" s="20"/>
      <c r="N2" s="20"/>
      <c r="O2" s="20"/>
      <c r="P2" s="20"/>
      <c r="Q2" s="20"/>
      <c r="R2" s="20"/>
      <c r="S2" s="20"/>
      <c r="T2" s="20"/>
      <c r="U2" s="20"/>
      <c r="V2" s="20"/>
      <c r="W2" s="20"/>
      <c r="X2" s="20"/>
      <c r="Y2" s="20"/>
      <c r="Z2" s="20"/>
      <c r="AA2" s="20"/>
      <c r="AB2" s="20"/>
      <c r="AC2" s="20"/>
      <c r="AD2" s="20"/>
      <c r="AE2" s="21"/>
    </row>
    <row r="3" spans="8:31" x14ac:dyDescent="0.3">
      <c r="H3" s="19"/>
      <c r="I3" s="20"/>
      <c r="J3" s="20"/>
      <c r="K3" s="20"/>
      <c r="L3" s="20"/>
      <c r="M3" s="20"/>
      <c r="N3" s="20"/>
      <c r="O3" s="20"/>
      <c r="P3" s="20"/>
      <c r="Q3" s="20"/>
      <c r="R3" s="20"/>
      <c r="S3" s="20"/>
      <c r="T3" s="20"/>
      <c r="U3" s="20"/>
      <c r="V3" s="20"/>
      <c r="W3" s="20"/>
      <c r="X3" s="20"/>
      <c r="Y3" s="20"/>
      <c r="Z3" s="20"/>
      <c r="AA3" s="20"/>
      <c r="AB3" s="20"/>
      <c r="AC3" s="20"/>
      <c r="AD3" s="20"/>
      <c r="AE3" s="21"/>
    </row>
    <row r="4" spans="8:31" x14ac:dyDescent="0.3">
      <c r="H4" s="19"/>
      <c r="I4" s="20"/>
      <c r="J4" s="20"/>
      <c r="K4" s="20"/>
      <c r="L4" s="20"/>
      <c r="M4" s="20"/>
      <c r="N4" s="20"/>
      <c r="O4" s="20"/>
      <c r="P4" s="20"/>
      <c r="Q4" s="20"/>
      <c r="R4" s="20"/>
      <c r="S4" s="20"/>
      <c r="T4" s="20"/>
      <c r="U4" s="20"/>
      <c r="V4" s="20"/>
      <c r="W4" s="20"/>
      <c r="X4" s="20"/>
      <c r="Y4" s="20"/>
      <c r="Z4" s="20"/>
      <c r="AA4" s="20"/>
      <c r="AB4" s="20"/>
      <c r="AC4" s="20"/>
      <c r="AD4" s="20"/>
      <c r="AE4" s="21"/>
    </row>
    <row r="5" spans="8:31" x14ac:dyDescent="0.3">
      <c r="H5" s="12"/>
      <c r="AE5" s="14"/>
    </row>
    <row r="6" spans="8:31" x14ac:dyDescent="0.3">
      <c r="H6" s="12"/>
      <c r="AE6" s="14"/>
    </row>
    <row r="7" spans="8:31" x14ac:dyDescent="0.3">
      <c r="H7" s="12"/>
      <c r="AE7" s="14"/>
    </row>
    <row r="8" spans="8:31" x14ac:dyDescent="0.3">
      <c r="H8" s="12"/>
      <c r="AE8" s="14"/>
    </row>
    <row r="9" spans="8:31" x14ac:dyDescent="0.3">
      <c r="H9" s="12"/>
      <c r="AE9" s="14"/>
    </row>
    <row r="10" spans="8:31" x14ac:dyDescent="0.3">
      <c r="H10" s="12"/>
      <c r="AE10" s="14"/>
    </row>
    <row r="11" spans="8:31" x14ac:dyDescent="0.3">
      <c r="H11" s="12"/>
      <c r="AE11" s="14"/>
    </row>
    <row r="12" spans="8:31" x14ac:dyDescent="0.3">
      <c r="H12" s="12"/>
      <c r="AE12" s="14"/>
    </row>
    <row r="13" spans="8:31" x14ac:dyDescent="0.3">
      <c r="H13" s="12"/>
      <c r="AE13" s="14"/>
    </row>
    <row r="14" spans="8:31" x14ac:dyDescent="0.3">
      <c r="H14" s="12"/>
      <c r="AE14" s="14"/>
    </row>
    <row r="15" spans="8:31" x14ac:dyDescent="0.3">
      <c r="H15" s="12"/>
      <c r="AE15" s="14"/>
    </row>
    <row r="16" spans="8:31" x14ac:dyDescent="0.3">
      <c r="H16" s="12"/>
      <c r="AE16" s="14"/>
    </row>
    <row r="17" spans="8:31" x14ac:dyDescent="0.3">
      <c r="H17" s="12"/>
      <c r="AE17" s="14"/>
    </row>
    <row r="18" spans="8:31" x14ac:dyDescent="0.3">
      <c r="H18" s="12"/>
      <c r="AE18" s="14"/>
    </row>
    <row r="19" spans="8:31" x14ac:dyDescent="0.3">
      <c r="H19" s="12"/>
      <c r="AE19" s="14"/>
    </row>
    <row r="20" spans="8:31" x14ac:dyDescent="0.3">
      <c r="H20" s="12"/>
      <c r="AE20" s="14"/>
    </row>
    <row r="21" spans="8:31" x14ac:dyDescent="0.3">
      <c r="H21" s="12"/>
      <c r="AE21" s="14"/>
    </row>
    <row r="22" spans="8:31" x14ac:dyDescent="0.3">
      <c r="H22" s="12"/>
      <c r="AE22" s="14"/>
    </row>
    <row r="23" spans="8:31" x14ac:dyDescent="0.3">
      <c r="H23" s="12"/>
      <c r="AE23" s="14"/>
    </row>
    <row r="24" spans="8:31" x14ac:dyDescent="0.3">
      <c r="H24" s="12"/>
      <c r="AE24" s="14"/>
    </row>
    <row r="25" spans="8:31" x14ac:dyDescent="0.3">
      <c r="H25" s="12"/>
      <c r="AE25" s="14"/>
    </row>
    <row r="26" spans="8:31" x14ac:dyDescent="0.3">
      <c r="H26" s="12"/>
      <c r="AE26" s="14"/>
    </row>
    <row r="27" spans="8:31" x14ac:dyDescent="0.3">
      <c r="H27" s="12"/>
      <c r="AE27" s="14"/>
    </row>
    <row r="28" spans="8:31" x14ac:dyDescent="0.3">
      <c r="H28" s="12"/>
      <c r="AE28" s="14"/>
    </row>
    <row r="29" spans="8:31" x14ac:dyDescent="0.3">
      <c r="H29" s="12"/>
      <c r="AE29" s="14"/>
    </row>
    <row r="30" spans="8:31" x14ac:dyDescent="0.3">
      <c r="H30" s="12"/>
      <c r="AE30" s="14"/>
    </row>
    <row r="31" spans="8:31" x14ac:dyDescent="0.3">
      <c r="H31" s="12"/>
      <c r="AE31" s="14"/>
    </row>
    <row r="32" spans="8:31" x14ac:dyDescent="0.3">
      <c r="H32" s="12"/>
      <c r="AE32" s="14"/>
    </row>
    <row r="33" spans="8:31" x14ac:dyDescent="0.3">
      <c r="H33" s="12"/>
      <c r="AE33" s="14"/>
    </row>
    <row r="34" spans="8:31" x14ac:dyDescent="0.3">
      <c r="H34" s="12"/>
      <c r="AE34" s="14"/>
    </row>
    <row r="35" spans="8:31" x14ac:dyDescent="0.3">
      <c r="H35" s="12"/>
      <c r="AE35" s="14"/>
    </row>
    <row r="36" spans="8:31" x14ac:dyDescent="0.3">
      <c r="H36" s="12"/>
      <c r="AE36" s="14"/>
    </row>
    <row r="37" spans="8:31" x14ac:dyDescent="0.3">
      <c r="H37" s="12"/>
      <c r="AE37" s="14"/>
    </row>
    <row r="38" spans="8:31" x14ac:dyDescent="0.3">
      <c r="H38" s="12"/>
      <c r="AE38" s="14"/>
    </row>
    <row r="39" spans="8:31" x14ac:dyDescent="0.3">
      <c r="H39" s="12"/>
      <c r="AE39" s="14"/>
    </row>
    <row r="40" spans="8:31" x14ac:dyDescent="0.3">
      <c r="H40" s="12"/>
      <c r="AE40" s="14"/>
    </row>
    <row r="41" spans="8:31" x14ac:dyDescent="0.3">
      <c r="H41" s="12"/>
      <c r="AE41" s="14"/>
    </row>
    <row r="42" spans="8:31" x14ac:dyDescent="0.3">
      <c r="H42" s="12"/>
      <c r="AE42" s="14"/>
    </row>
    <row r="43" spans="8:31" x14ac:dyDescent="0.3">
      <c r="H43" s="12"/>
      <c r="AE43" s="14"/>
    </row>
    <row r="44" spans="8:31" x14ac:dyDescent="0.3">
      <c r="H44" s="12"/>
      <c r="AE44" s="14"/>
    </row>
    <row r="45" spans="8:31" x14ac:dyDescent="0.3">
      <c r="H45" s="12"/>
      <c r="AE45" s="14"/>
    </row>
    <row r="46" spans="8:31" x14ac:dyDescent="0.3">
      <c r="H46" s="12"/>
      <c r="AE46" s="14"/>
    </row>
    <row r="47" spans="8:31" x14ac:dyDescent="0.3">
      <c r="H47" s="12"/>
      <c r="AE47" s="14"/>
    </row>
    <row r="48" spans="8:31" x14ac:dyDescent="0.3">
      <c r="H48" s="12"/>
      <c r="AE48" s="14"/>
    </row>
    <row r="49" spans="8:31" x14ac:dyDescent="0.3">
      <c r="H49" s="12"/>
      <c r="AE49" s="14"/>
    </row>
    <row r="50" spans="8:31" x14ac:dyDescent="0.3">
      <c r="H50" s="12"/>
      <c r="AE50" s="14"/>
    </row>
    <row r="51" spans="8:31" x14ac:dyDescent="0.3">
      <c r="H51" s="12"/>
      <c r="AE51" s="14"/>
    </row>
    <row r="52" spans="8:31" x14ac:dyDescent="0.3">
      <c r="H52" s="12"/>
      <c r="AE52" s="14"/>
    </row>
    <row r="53" spans="8:31" x14ac:dyDescent="0.3">
      <c r="H53" s="12"/>
      <c r="AE53" s="14"/>
    </row>
    <row r="54" spans="8:31" x14ac:dyDescent="0.3">
      <c r="H54" s="12"/>
      <c r="AE54" s="14"/>
    </row>
    <row r="55" spans="8:31" x14ac:dyDescent="0.3">
      <c r="H55" s="12"/>
      <c r="AE55" s="14"/>
    </row>
    <row r="56" spans="8:31" x14ac:dyDescent="0.3">
      <c r="H56" s="12"/>
      <c r="AE56" s="14"/>
    </row>
    <row r="57" spans="8:31" x14ac:dyDescent="0.3">
      <c r="H57" s="12"/>
      <c r="AE57" s="14"/>
    </row>
    <row r="58" spans="8:31" x14ac:dyDescent="0.3">
      <c r="H58" s="12"/>
      <c r="AE58" s="14"/>
    </row>
    <row r="59" spans="8:31" x14ac:dyDescent="0.3">
      <c r="H59" s="12"/>
      <c r="AE59" s="14"/>
    </row>
    <row r="60" spans="8:31" x14ac:dyDescent="0.3">
      <c r="H60" s="12"/>
      <c r="AE60" s="14"/>
    </row>
    <row r="61" spans="8:31" x14ac:dyDescent="0.3">
      <c r="H61" s="13"/>
      <c r="I61" s="11"/>
      <c r="J61" s="11"/>
      <c r="K61" s="11"/>
      <c r="L61" s="11"/>
      <c r="M61" s="11"/>
      <c r="N61" s="11"/>
      <c r="O61" s="11"/>
      <c r="P61" s="11"/>
      <c r="Q61" s="11"/>
      <c r="R61" s="11"/>
      <c r="S61" s="11"/>
      <c r="T61" s="11"/>
      <c r="U61" s="11"/>
      <c r="V61" s="11"/>
      <c r="W61" s="11"/>
      <c r="X61" s="11"/>
      <c r="Y61" s="11"/>
      <c r="Z61" s="11"/>
      <c r="AA61" s="11"/>
      <c r="AB61" s="11"/>
      <c r="AC61" s="11"/>
      <c r="AD61" s="11"/>
      <c r="AE61" s="15"/>
    </row>
  </sheetData>
  <mergeCells count="1">
    <mergeCell ref="H1:AE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91E5-6E0E-4497-9BFF-B4ECE0BCF031}">
  <dimension ref="A3:B8"/>
  <sheetViews>
    <sheetView showGridLines="0" workbookViewId="0">
      <selection activeCell="T21" sqref="T21"/>
    </sheetView>
  </sheetViews>
  <sheetFormatPr defaultRowHeight="14.4" x14ac:dyDescent="0.3"/>
  <cols>
    <col min="1" max="1" width="12.5546875" bestFit="1" customWidth="1"/>
    <col min="2" max="2" width="15.44140625" bestFit="1" customWidth="1"/>
  </cols>
  <sheetData>
    <row r="3" spans="1:2" x14ac:dyDescent="0.3">
      <c r="A3" s="7" t="s">
        <v>37</v>
      </c>
      <c r="B3" t="s">
        <v>36</v>
      </c>
    </row>
    <row r="4" spans="1:2" x14ac:dyDescent="0.3">
      <c r="A4" s="2" t="s">
        <v>10</v>
      </c>
      <c r="B4" s="8">
        <v>1152805</v>
      </c>
    </row>
    <row r="5" spans="1:2" x14ac:dyDescent="0.3">
      <c r="A5" s="2" t="s">
        <v>23</v>
      </c>
      <c r="B5" s="8">
        <v>604575</v>
      </c>
    </row>
    <row r="6" spans="1:2" x14ac:dyDescent="0.3">
      <c r="A6" s="2" t="s">
        <v>14</v>
      </c>
      <c r="B6" s="8">
        <v>703282</v>
      </c>
    </row>
    <row r="7" spans="1:2" x14ac:dyDescent="0.3">
      <c r="A7" s="2" t="s">
        <v>17</v>
      </c>
      <c r="B7" s="8">
        <v>910416</v>
      </c>
    </row>
    <row r="8" spans="1:2" x14ac:dyDescent="0.3">
      <c r="A8" s="2" t="s">
        <v>38</v>
      </c>
      <c r="B8" s="8">
        <v>3371078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A372-8521-41EF-8219-9540CA8A165E}">
  <dimension ref="A3:B14"/>
  <sheetViews>
    <sheetView showGridLines="0" workbookViewId="0">
      <selection activeCell="P11" sqref="P11"/>
    </sheetView>
  </sheetViews>
  <sheetFormatPr defaultRowHeight="14.4" x14ac:dyDescent="0.3"/>
  <cols>
    <col min="1" max="1" width="11.21875" bestFit="1" customWidth="1"/>
    <col min="2" max="2" width="14.6640625" bestFit="1" customWidth="1"/>
  </cols>
  <sheetData>
    <row r="3" spans="1:2" x14ac:dyDescent="0.3">
      <c r="A3" s="7" t="s">
        <v>3</v>
      </c>
      <c r="B3" t="s">
        <v>39</v>
      </c>
    </row>
    <row r="4" spans="1:2" x14ac:dyDescent="0.3">
      <c r="A4" s="2" t="s">
        <v>21</v>
      </c>
      <c r="B4">
        <v>10</v>
      </c>
    </row>
    <row r="5" spans="1:2" x14ac:dyDescent="0.3">
      <c r="A5" s="2" t="s">
        <v>26</v>
      </c>
      <c r="B5">
        <v>6</v>
      </c>
    </row>
    <row r="6" spans="1:2" x14ac:dyDescent="0.3">
      <c r="A6" s="2" t="s">
        <v>22</v>
      </c>
      <c r="B6">
        <v>6</v>
      </c>
    </row>
    <row r="7" spans="1:2" x14ac:dyDescent="0.3">
      <c r="A7" s="2" t="s">
        <v>25</v>
      </c>
      <c r="B7">
        <v>6</v>
      </c>
    </row>
    <row r="8" spans="1:2" x14ac:dyDescent="0.3">
      <c r="A8" s="2" t="s">
        <v>20</v>
      </c>
      <c r="B8">
        <v>18</v>
      </c>
    </row>
    <row r="9" spans="1:2" x14ac:dyDescent="0.3">
      <c r="A9" s="2" t="s">
        <v>9</v>
      </c>
      <c r="B9">
        <v>13</v>
      </c>
    </row>
    <row r="10" spans="1:2" x14ac:dyDescent="0.3">
      <c r="A10" s="2" t="s">
        <v>13</v>
      </c>
      <c r="B10">
        <v>8</v>
      </c>
    </row>
    <row r="11" spans="1:2" x14ac:dyDescent="0.3">
      <c r="A11" s="2" t="s">
        <v>19</v>
      </c>
      <c r="B11">
        <v>11</v>
      </c>
    </row>
    <row r="12" spans="1:2" x14ac:dyDescent="0.3">
      <c r="A12" s="2" t="s">
        <v>24</v>
      </c>
      <c r="B12">
        <v>37</v>
      </c>
    </row>
    <row r="13" spans="1:2" x14ac:dyDescent="0.3">
      <c r="A13" s="2" t="s">
        <v>16</v>
      </c>
      <c r="B13">
        <v>5</v>
      </c>
    </row>
    <row r="14" spans="1:2" x14ac:dyDescent="0.3">
      <c r="A14" s="2" t="s">
        <v>38</v>
      </c>
      <c r="B14">
        <v>120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F5B5-447C-41C3-A77F-96F443CC0D35}">
  <dimension ref="A3:B19"/>
  <sheetViews>
    <sheetView showGridLines="0" workbookViewId="0">
      <selection activeCell="C9" sqref="C9"/>
    </sheetView>
  </sheetViews>
  <sheetFormatPr defaultRowHeight="14.4" x14ac:dyDescent="0.3"/>
  <cols>
    <col min="1" max="1" width="12.5546875" bestFit="1" customWidth="1"/>
    <col min="2" max="2" width="20.109375" bestFit="1" customWidth="1"/>
  </cols>
  <sheetData>
    <row r="3" spans="1:2" x14ac:dyDescent="0.3">
      <c r="A3" s="7" t="s">
        <v>37</v>
      </c>
      <c r="B3" t="s">
        <v>42</v>
      </c>
    </row>
    <row r="4" spans="1:2" x14ac:dyDescent="0.3">
      <c r="A4" s="2" t="s">
        <v>40</v>
      </c>
      <c r="B4">
        <v>11171</v>
      </c>
    </row>
    <row r="5" spans="1:2" x14ac:dyDescent="0.3">
      <c r="A5" s="9" t="s">
        <v>43</v>
      </c>
      <c r="B5">
        <v>771</v>
      </c>
    </row>
    <row r="6" spans="1:2" x14ac:dyDescent="0.3">
      <c r="A6" s="9" t="s">
        <v>44</v>
      </c>
      <c r="B6">
        <v>3103</v>
      </c>
    </row>
    <row r="7" spans="1:2" x14ac:dyDescent="0.3">
      <c r="A7" s="9" t="s">
        <v>45</v>
      </c>
      <c r="B7">
        <v>4803</v>
      </c>
    </row>
    <row r="8" spans="1:2" x14ac:dyDescent="0.3">
      <c r="A8" s="9" t="s">
        <v>46</v>
      </c>
      <c r="B8">
        <v>2494</v>
      </c>
    </row>
    <row r="9" spans="1:2" x14ac:dyDescent="0.3">
      <c r="A9" s="2" t="s">
        <v>41</v>
      </c>
      <c r="B9">
        <v>23556</v>
      </c>
    </row>
    <row r="10" spans="1:2" x14ac:dyDescent="0.3">
      <c r="A10" s="9" t="s">
        <v>47</v>
      </c>
      <c r="B10">
        <v>3026</v>
      </c>
    </row>
    <row r="11" spans="1:2" x14ac:dyDescent="0.3">
      <c r="A11" s="9" t="s">
        <v>48</v>
      </c>
      <c r="B11">
        <v>4127</v>
      </c>
    </row>
    <row r="12" spans="1:2" x14ac:dyDescent="0.3">
      <c r="A12" s="9" t="s">
        <v>49</v>
      </c>
      <c r="B12">
        <v>3875</v>
      </c>
    </row>
    <row r="13" spans="1:2" x14ac:dyDescent="0.3">
      <c r="A13" s="9" t="s">
        <v>50</v>
      </c>
      <c r="B13">
        <v>1528</v>
      </c>
    </row>
    <row r="14" spans="1:2" x14ac:dyDescent="0.3">
      <c r="A14" s="9" t="s">
        <v>51</v>
      </c>
      <c r="B14">
        <v>1684</v>
      </c>
    </row>
    <row r="15" spans="1:2" x14ac:dyDescent="0.3">
      <c r="A15" s="9" t="s">
        <v>52</v>
      </c>
      <c r="B15">
        <v>3537</v>
      </c>
    </row>
    <row r="16" spans="1:2" x14ac:dyDescent="0.3">
      <c r="A16" s="9" t="s">
        <v>53</v>
      </c>
      <c r="B16">
        <v>1536</v>
      </c>
    </row>
    <row r="17" spans="1:2" x14ac:dyDescent="0.3">
      <c r="A17" s="9" t="s">
        <v>54</v>
      </c>
      <c r="B17">
        <v>2864</v>
      </c>
    </row>
    <row r="18" spans="1:2" x14ac:dyDescent="0.3">
      <c r="A18" s="9" t="s">
        <v>43</v>
      </c>
      <c r="B18">
        <v>1379</v>
      </c>
    </row>
    <row r="19" spans="1:2" x14ac:dyDescent="0.3">
      <c r="A19" s="2" t="s">
        <v>38</v>
      </c>
      <c r="B19">
        <v>34727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0451-702A-406B-98A3-F64285220970}">
  <dimension ref="A3:B8"/>
  <sheetViews>
    <sheetView showGridLines="0" tabSelected="1" workbookViewId="0">
      <selection activeCell="B23" sqref="B23"/>
    </sheetView>
  </sheetViews>
  <sheetFormatPr defaultRowHeight="14.4" x14ac:dyDescent="0.3"/>
  <cols>
    <col min="1" max="1" width="12.5546875" bestFit="1" customWidth="1"/>
    <col min="2" max="2" width="31.77734375" bestFit="1" customWidth="1"/>
    <col min="3" max="3" width="20.109375" bestFit="1" customWidth="1"/>
  </cols>
  <sheetData>
    <row r="3" spans="1:2" x14ac:dyDescent="0.3">
      <c r="A3" s="7" t="s">
        <v>37</v>
      </c>
      <c r="B3" t="s">
        <v>55</v>
      </c>
    </row>
    <row r="4" spans="1:2" x14ac:dyDescent="0.3">
      <c r="A4" s="2" t="s">
        <v>10</v>
      </c>
      <c r="B4" s="10">
        <v>140.87387695413258</v>
      </c>
    </row>
    <row r="5" spans="1:2" x14ac:dyDescent="0.3">
      <c r="A5" s="2" t="s">
        <v>23</v>
      </c>
      <c r="B5" s="10">
        <v>108.368246516667</v>
      </c>
    </row>
    <row r="6" spans="1:2" x14ac:dyDescent="0.3">
      <c r="A6" s="2" t="s">
        <v>14</v>
      </c>
      <c r="B6" s="10">
        <v>180.4410334877862</v>
      </c>
    </row>
    <row r="7" spans="1:2" x14ac:dyDescent="0.3">
      <c r="A7" s="2" t="s">
        <v>17</v>
      </c>
      <c r="B7" s="10">
        <v>108.97659894637712</v>
      </c>
    </row>
    <row r="8" spans="1:2" x14ac:dyDescent="0.3">
      <c r="A8" s="2" t="s">
        <v>38</v>
      </c>
      <c r="B8" s="10">
        <v>132.39235089555021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1" workbookViewId="0"/>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8.88671875" style="1"/>
    <col min="10" max="10" width="17.33203125" style="1" customWidth="1"/>
    <col min="11" max="11" width="29.77734375" bestFit="1" customWidth="1"/>
  </cols>
  <sheetData>
    <row r="1" spans="1:11" s="5" customFormat="1" x14ac:dyDescent="0.3">
      <c r="A1" s="4" t="s">
        <v>0</v>
      </c>
      <c r="B1" s="4" t="s">
        <v>1</v>
      </c>
      <c r="C1" s="4" t="s">
        <v>2</v>
      </c>
      <c r="D1" s="4" t="s">
        <v>3</v>
      </c>
      <c r="E1" s="4" t="s">
        <v>4</v>
      </c>
      <c r="F1" s="4" t="s">
        <v>5</v>
      </c>
      <c r="G1" s="4" t="s">
        <v>6</v>
      </c>
      <c r="H1" s="4" t="s">
        <v>7</v>
      </c>
      <c r="I1" s="4" t="s">
        <v>29</v>
      </c>
      <c r="J1" s="4" t="s">
        <v>34</v>
      </c>
      <c r="K1" s="4" t="s">
        <v>35</v>
      </c>
    </row>
    <row r="2" spans="1:11" x14ac:dyDescent="0.3">
      <c r="A2" s="1">
        <v>1</v>
      </c>
      <c r="B2" s="3">
        <v>45380</v>
      </c>
      <c r="C2" s="1" t="s">
        <v>8</v>
      </c>
      <c r="D2" s="1" t="s">
        <v>9</v>
      </c>
      <c r="E2" s="1" t="s">
        <v>10</v>
      </c>
      <c r="F2" s="1">
        <v>412</v>
      </c>
      <c r="G2" s="1">
        <v>22288</v>
      </c>
      <c r="H2" s="1" t="s">
        <v>11</v>
      </c>
      <c r="I2" s="1">
        <v>25</v>
      </c>
      <c r="J2" s="1" t="str">
        <f t="shared" ref="J2:J33" si="0">IF(I2 &lt;= 35,"A1",IF(I2 &lt;= 45,"A2","A3"))</f>
        <v>A1</v>
      </c>
      <c r="K2" s="6">
        <f>G2/F2</f>
        <v>54.097087378640779</v>
      </c>
    </row>
    <row r="3" spans="1:11" x14ac:dyDescent="0.3">
      <c r="A3" s="1">
        <v>2</v>
      </c>
      <c r="B3" s="3">
        <v>45420</v>
      </c>
      <c r="C3" s="1" t="s">
        <v>12</v>
      </c>
      <c r="D3" s="1" t="s">
        <v>13</v>
      </c>
      <c r="E3" s="1" t="s">
        <v>14</v>
      </c>
      <c r="F3" s="1">
        <v>430</v>
      </c>
      <c r="G3" s="1">
        <v>66500</v>
      </c>
      <c r="H3" s="1" t="s">
        <v>11</v>
      </c>
      <c r="I3" s="1">
        <v>52</v>
      </c>
      <c r="J3" s="1" t="str">
        <f t="shared" si="0"/>
        <v>A3</v>
      </c>
      <c r="K3" s="6">
        <f t="shared" ref="K3:K66" si="1">G3/F3</f>
        <v>154.65116279069767</v>
      </c>
    </row>
    <row r="4" spans="1:11" x14ac:dyDescent="0.3">
      <c r="A4" s="1">
        <v>3</v>
      </c>
      <c r="B4" s="3">
        <v>45504</v>
      </c>
      <c r="C4" s="1" t="s">
        <v>15</v>
      </c>
      <c r="D4" s="1" t="s">
        <v>16</v>
      </c>
      <c r="E4" s="1" t="s">
        <v>17</v>
      </c>
      <c r="F4" s="1">
        <v>478</v>
      </c>
      <c r="G4" s="1">
        <v>76076</v>
      </c>
      <c r="H4" s="1" t="s">
        <v>18</v>
      </c>
      <c r="I4" s="1">
        <v>36</v>
      </c>
      <c r="J4" s="1" t="str">
        <f t="shared" si="0"/>
        <v>A2</v>
      </c>
      <c r="K4" s="6">
        <f t="shared" si="1"/>
        <v>159.15481171548117</v>
      </c>
    </row>
    <row r="5" spans="1:11" x14ac:dyDescent="0.3">
      <c r="A5" s="1">
        <v>4</v>
      </c>
      <c r="B5" s="3">
        <v>45214</v>
      </c>
      <c r="C5" s="1" t="s">
        <v>12</v>
      </c>
      <c r="D5" s="1" t="s">
        <v>19</v>
      </c>
      <c r="E5" s="1" t="s">
        <v>17</v>
      </c>
      <c r="F5" s="1">
        <v>459</v>
      </c>
      <c r="G5" s="1">
        <v>17069</v>
      </c>
      <c r="H5" s="1" t="s">
        <v>28</v>
      </c>
      <c r="I5" s="1">
        <v>57</v>
      </c>
      <c r="J5" s="1" t="str">
        <f t="shared" si="0"/>
        <v>A3</v>
      </c>
      <c r="K5" s="6">
        <f t="shared" si="1"/>
        <v>37.187363834422655</v>
      </c>
    </row>
    <row r="6" spans="1:11" x14ac:dyDescent="0.3">
      <c r="A6" s="1">
        <v>5</v>
      </c>
      <c r="B6" s="3">
        <v>45449</v>
      </c>
      <c r="C6" s="1" t="s">
        <v>8</v>
      </c>
      <c r="D6" s="1" t="s">
        <v>20</v>
      </c>
      <c r="E6" s="1" t="s">
        <v>17</v>
      </c>
      <c r="F6" s="1">
        <v>178</v>
      </c>
      <c r="G6" s="1">
        <v>41349</v>
      </c>
      <c r="H6" s="1" t="s">
        <v>18</v>
      </c>
      <c r="I6" s="1">
        <v>26</v>
      </c>
      <c r="J6" s="1" t="str">
        <f t="shared" si="0"/>
        <v>A1</v>
      </c>
      <c r="K6" s="6">
        <f t="shared" si="1"/>
        <v>232.29775280898878</v>
      </c>
    </row>
    <row r="7" spans="1:11" x14ac:dyDescent="0.3">
      <c r="A7" s="1">
        <v>6</v>
      </c>
      <c r="B7" s="3">
        <v>45350</v>
      </c>
      <c r="C7" s="1" t="s">
        <v>12</v>
      </c>
      <c r="D7" s="1" t="s">
        <v>20</v>
      </c>
      <c r="E7" s="1" t="s">
        <v>17</v>
      </c>
      <c r="F7" s="1">
        <v>401</v>
      </c>
      <c r="G7" s="1">
        <v>19691</v>
      </c>
      <c r="H7" s="1" t="s">
        <v>18</v>
      </c>
      <c r="I7" s="1">
        <v>26</v>
      </c>
      <c r="J7" s="1" t="str">
        <f t="shared" si="0"/>
        <v>A1</v>
      </c>
      <c r="K7" s="6">
        <f t="shared" si="1"/>
        <v>49.104738154613464</v>
      </c>
    </row>
    <row r="8" spans="1:11" x14ac:dyDescent="0.3">
      <c r="A8" s="1">
        <v>7</v>
      </c>
      <c r="B8" s="3">
        <v>45472</v>
      </c>
      <c r="C8" s="1" t="s">
        <v>12</v>
      </c>
      <c r="D8" s="1" t="s">
        <v>21</v>
      </c>
      <c r="E8" s="1" t="s">
        <v>17</v>
      </c>
      <c r="F8" s="1">
        <v>68</v>
      </c>
      <c r="G8" s="1">
        <v>11696</v>
      </c>
      <c r="H8" s="1" t="s">
        <v>18</v>
      </c>
      <c r="I8" s="1">
        <v>28</v>
      </c>
      <c r="J8" s="1" t="str">
        <f t="shared" si="0"/>
        <v>A1</v>
      </c>
      <c r="K8" s="6">
        <f t="shared" si="1"/>
        <v>172</v>
      </c>
    </row>
    <row r="9" spans="1:11" x14ac:dyDescent="0.3">
      <c r="A9" s="1">
        <v>8</v>
      </c>
      <c r="B9" s="3">
        <v>45299</v>
      </c>
      <c r="C9" s="1" t="s">
        <v>12</v>
      </c>
      <c r="D9" s="1" t="s">
        <v>22</v>
      </c>
      <c r="E9" s="1" t="s">
        <v>23</v>
      </c>
      <c r="F9" s="1">
        <v>447</v>
      </c>
      <c r="G9" s="1">
        <v>52269</v>
      </c>
      <c r="H9" s="1" t="s">
        <v>18</v>
      </c>
      <c r="I9" s="1">
        <v>28</v>
      </c>
      <c r="J9" s="1" t="str">
        <f t="shared" si="0"/>
        <v>A1</v>
      </c>
      <c r="K9" s="6">
        <f t="shared" si="1"/>
        <v>116.93288590604027</v>
      </c>
    </row>
    <row r="10" spans="1:11" x14ac:dyDescent="0.3">
      <c r="A10" s="1">
        <v>9</v>
      </c>
      <c r="B10" s="3">
        <v>45217</v>
      </c>
      <c r="C10" s="1" t="s">
        <v>12</v>
      </c>
      <c r="D10" s="1" t="s">
        <v>24</v>
      </c>
      <c r="E10" s="1" t="s">
        <v>23</v>
      </c>
      <c r="F10" s="1">
        <v>55</v>
      </c>
      <c r="G10" s="1">
        <v>25893</v>
      </c>
      <c r="H10" s="1" t="s">
        <v>18</v>
      </c>
      <c r="I10" s="1">
        <v>42</v>
      </c>
      <c r="J10" s="1" t="str">
        <f t="shared" si="0"/>
        <v>A2</v>
      </c>
      <c r="K10" s="6">
        <f t="shared" si="1"/>
        <v>470.78181818181821</v>
      </c>
    </row>
    <row r="11" spans="1:11" x14ac:dyDescent="0.3">
      <c r="A11" s="1">
        <v>10</v>
      </c>
      <c r="B11" s="3">
        <v>45508</v>
      </c>
      <c r="C11" s="1" t="s">
        <v>12</v>
      </c>
      <c r="D11" s="1" t="s">
        <v>24</v>
      </c>
      <c r="E11" s="1" t="s">
        <v>10</v>
      </c>
      <c r="F11" s="1">
        <v>396</v>
      </c>
      <c r="G11" s="1">
        <v>38480</v>
      </c>
      <c r="H11" s="1" t="s">
        <v>11</v>
      </c>
      <c r="I11" s="1">
        <v>42</v>
      </c>
      <c r="J11" s="1" t="str">
        <f t="shared" si="0"/>
        <v>A2</v>
      </c>
      <c r="K11" s="6">
        <f t="shared" si="1"/>
        <v>97.171717171717177</v>
      </c>
    </row>
    <row r="12" spans="1:11" x14ac:dyDescent="0.3">
      <c r="A12" s="1">
        <v>11</v>
      </c>
      <c r="B12" s="3">
        <v>45335</v>
      </c>
      <c r="C12" s="1" t="s">
        <v>12</v>
      </c>
      <c r="D12" s="1" t="s">
        <v>25</v>
      </c>
      <c r="E12" s="1" t="s">
        <v>17</v>
      </c>
      <c r="F12" s="1">
        <v>494</v>
      </c>
      <c r="G12" s="1">
        <v>46767</v>
      </c>
      <c r="H12" s="1" t="s">
        <v>11</v>
      </c>
      <c r="I12" s="1">
        <v>25</v>
      </c>
      <c r="J12" s="1" t="str">
        <f t="shared" si="0"/>
        <v>A1</v>
      </c>
      <c r="K12" s="6">
        <f t="shared" si="1"/>
        <v>94.670040485829958</v>
      </c>
    </row>
    <row r="13" spans="1:11" x14ac:dyDescent="0.3">
      <c r="A13" s="1">
        <v>12</v>
      </c>
      <c r="B13" s="3">
        <v>45410</v>
      </c>
      <c r="C13" s="1" t="s">
        <v>12</v>
      </c>
      <c r="D13" s="1" t="s">
        <v>25</v>
      </c>
      <c r="E13" s="1" t="s">
        <v>10</v>
      </c>
      <c r="F13" s="1">
        <v>462</v>
      </c>
      <c r="G13" s="1">
        <v>26145</v>
      </c>
      <c r="H13" s="1" t="s">
        <v>28</v>
      </c>
      <c r="I13" s="1">
        <v>25</v>
      </c>
      <c r="J13" s="1" t="str">
        <f t="shared" si="0"/>
        <v>A1</v>
      </c>
      <c r="K13" s="6">
        <f t="shared" si="1"/>
        <v>56.590909090909093</v>
      </c>
    </row>
    <row r="14" spans="1:11" x14ac:dyDescent="0.3">
      <c r="A14" s="1">
        <v>13</v>
      </c>
      <c r="B14" s="3">
        <v>45472</v>
      </c>
      <c r="C14" s="1" t="s">
        <v>15</v>
      </c>
      <c r="D14" s="1" t="s">
        <v>9</v>
      </c>
      <c r="E14" s="1" t="s">
        <v>23</v>
      </c>
      <c r="F14" s="1">
        <v>435</v>
      </c>
      <c r="G14" s="1">
        <v>64090</v>
      </c>
      <c r="H14" s="1" t="s">
        <v>11</v>
      </c>
      <c r="I14" s="1">
        <v>25</v>
      </c>
      <c r="J14" s="1" t="str">
        <f t="shared" si="0"/>
        <v>A1</v>
      </c>
      <c r="K14" s="6">
        <f t="shared" si="1"/>
        <v>147.33333333333334</v>
      </c>
    </row>
    <row r="15" spans="1:11" x14ac:dyDescent="0.3">
      <c r="A15" s="1">
        <v>14</v>
      </c>
      <c r="B15" s="3">
        <v>45465</v>
      </c>
      <c r="C15" s="1" t="s">
        <v>8</v>
      </c>
      <c r="D15" s="1" t="s">
        <v>20</v>
      </c>
      <c r="E15" s="1" t="s">
        <v>10</v>
      </c>
      <c r="F15" s="1">
        <v>332</v>
      </c>
      <c r="G15" s="1">
        <v>679</v>
      </c>
      <c r="H15" s="1" t="s">
        <v>11</v>
      </c>
      <c r="I15" s="1">
        <v>26</v>
      </c>
      <c r="J15" s="1" t="str">
        <f t="shared" si="0"/>
        <v>A1</v>
      </c>
      <c r="K15" s="6">
        <f t="shared" si="1"/>
        <v>2.0451807228915664</v>
      </c>
    </row>
    <row r="16" spans="1:11" x14ac:dyDescent="0.3">
      <c r="A16" s="1">
        <v>15</v>
      </c>
      <c r="B16" s="3">
        <v>45398</v>
      </c>
      <c r="C16" s="1" t="s">
        <v>15</v>
      </c>
      <c r="D16" s="1" t="s">
        <v>24</v>
      </c>
      <c r="E16" s="1" t="s">
        <v>10</v>
      </c>
      <c r="F16" s="1">
        <v>383</v>
      </c>
      <c r="G16" s="1">
        <v>39008</v>
      </c>
      <c r="H16" s="1" t="s">
        <v>28</v>
      </c>
      <c r="I16" s="1">
        <v>42</v>
      </c>
      <c r="J16" s="1" t="str">
        <f t="shared" si="0"/>
        <v>A2</v>
      </c>
      <c r="K16" s="6">
        <f t="shared" si="1"/>
        <v>101.8485639686684</v>
      </c>
    </row>
    <row r="17" spans="1:11" x14ac:dyDescent="0.3">
      <c r="A17" s="1">
        <v>16</v>
      </c>
      <c r="B17" s="3">
        <v>45318</v>
      </c>
      <c r="C17" s="1" t="s">
        <v>15</v>
      </c>
      <c r="D17" s="1" t="s">
        <v>20</v>
      </c>
      <c r="E17" s="1" t="s">
        <v>14</v>
      </c>
      <c r="F17" s="1">
        <v>193</v>
      </c>
      <c r="G17" s="1">
        <v>18796</v>
      </c>
      <c r="H17" s="1" t="s">
        <v>18</v>
      </c>
      <c r="I17" s="1">
        <v>26</v>
      </c>
      <c r="J17" s="1" t="str">
        <f t="shared" si="0"/>
        <v>A1</v>
      </c>
      <c r="K17" s="6">
        <f t="shared" si="1"/>
        <v>97.388601036269435</v>
      </c>
    </row>
    <row r="18" spans="1:11" x14ac:dyDescent="0.3">
      <c r="A18" s="1">
        <v>17</v>
      </c>
      <c r="B18" s="3">
        <v>45215</v>
      </c>
      <c r="C18" s="1" t="s">
        <v>12</v>
      </c>
      <c r="D18" s="1" t="s">
        <v>24</v>
      </c>
      <c r="E18" s="1" t="s">
        <v>17</v>
      </c>
      <c r="F18" s="1">
        <v>240</v>
      </c>
      <c r="G18" s="1">
        <v>65052</v>
      </c>
      <c r="H18" s="1" t="s">
        <v>11</v>
      </c>
      <c r="I18" s="1">
        <v>42</v>
      </c>
      <c r="J18" s="1" t="str">
        <f t="shared" si="0"/>
        <v>A2</v>
      </c>
      <c r="K18" s="6">
        <f t="shared" si="1"/>
        <v>271.05</v>
      </c>
    </row>
    <row r="19" spans="1:11" x14ac:dyDescent="0.3">
      <c r="A19" s="1">
        <v>18</v>
      </c>
      <c r="B19" s="3">
        <v>45381</v>
      </c>
      <c r="C19" s="1" t="s">
        <v>12</v>
      </c>
      <c r="D19" s="1" t="s">
        <v>26</v>
      </c>
      <c r="E19" s="1" t="s">
        <v>10</v>
      </c>
      <c r="F19" s="1">
        <v>363</v>
      </c>
      <c r="G19" s="1">
        <v>38232</v>
      </c>
      <c r="H19" s="1" t="s">
        <v>11</v>
      </c>
      <c r="I19" s="1">
        <v>49</v>
      </c>
      <c r="J19" s="1" t="str">
        <f t="shared" si="0"/>
        <v>A3</v>
      </c>
      <c r="K19" s="6">
        <f t="shared" si="1"/>
        <v>105.32231404958678</v>
      </c>
    </row>
    <row r="20" spans="1:11" x14ac:dyDescent="0.3">
      <c r="A20" s="1">
        <v>19</v>
      </c>
      <c r="B20" s="3">
        <v>45469</v>
      </c>
      <c r="C20" s="1" t="s">
        <v>12</v>
      </c>
      <c r="D20" s="1" t="s">
        <v>26</v>
      </c>
      <c r="E20" s="1" t="s">
        <v>10</v>
      </c>
      <c r="F20" s="1">
        <v>443</v>
      </c>
      <c r="G20" s="1">
        <v>50652</v>
      </c>
      <c r="H20" s="1" t="s">
        <v>18</v>
      </c>
      <c r="I20" s="1">
        <v>49</v>
      </c>
      <c r="J20" s="1" t="str">
        <f t="shared" si="0"/>
        <v>A3</v>
      </c>
      <c r="K20" s="6">
        <f t="shared" si="1"/>
        <v>114.33860045146727</v>
      </c>
    </row>
    <row r="21" spans="1:11" x14ac:dyDescent="0.3">
      <c r="A21" s="1">
        <v>20</v>
      </c>
      <c r="B21" s="3">
        <v>45254</v>
      </c>
      <c r="C21" s="1" t="s">
        <v>12</v>
      </c>
      <c r="D21" s="1" t="s">
        <v>24</v>
      </c>
      <c r="E21" s="1" t="s">
        <v>23</v>
      </c>
      <c r="F21" s="1">
        <v>331</v>
      </c>
      <c r="G21" s="1">
        <v>27140</v>
      </c>
      <c r="H21" s="1" t="s">
        <v>18</v>
      </c>
      <c r="I21" s="1">
        <v>42</v>
      </c>
      <c r="J21" s="1" t="str">
        <f t="shared" si="0"/>
        <v>A2</v>
      </c>
      <c r="K21" s="6">
        <f t="shared" si="1"/>
        <v>81.993957703927492</v>
      </c>
    </row>
    <row r="22" spans="1:11" x14ac:dyDescent="0.3">
      <c r="A22" s="1">
        <v>21</v>
      </c>
      <c r="B22" s="3">
        <v>45304</v>
      </c>
      <c r="C22" s="1" t="s">
        <v>8</v>
      </c>
      <c r="D22" s="1" t="s">
        <v>24</v>
      </c>
      <c r="E22" s="1" t="s">
        <v>17</v>
      </c>
      <c r="F22" s="1">
        <v>250</v>
      </c>
      <c r="G22" s="1">
        <v>11385</v>
      </c>
      <c r="H22" s="1" t="s">
        <v>18</v>
      </c>
      <c r="I22" s="1">
        <v>42</v>
      </c>
      <c r="J22" s="1" t="str">
        <f t="shared" si="0"/>
        <v>A2</v>
      </c>
      <c r="K22" s="6">
        <f t="shared" si="1"/>
        <v>45.54</v>
      </c>
    </row>
    <row r="23" spans="1:11" x14ac:dyDescent="0.3">
      <c r="A23" s="1">
        <v>22</v>
      </c>
      <c r="B23" s="3">
        <v>45294</v>
      </c>
      <c r="C23" s="1" t="s">
        <v>12</v>
      </c>
      <c r="D23" s="1" t="s">
        <v>26</v>
      </c>
      <c r="E23" s="1" t="s">
        <v>17</v>
      </c>
      <c r="F23" s="1">
        <v>180</v>
      </c>
      <c r="G23" s="1">
        <v>33684</v>
      </c>
      <c r="H23" s="1" t="s">
        <v>11</v>
      </c>
      <c r="I23" s="1">
        <v>49</v>
      </c>
      <c r="J23" s="1" t="str">
        <f t="shared" si="0"/>
        <v>A3</v>
      </c>
      <c r="K23" s="6">
        <f t="shared" si="1"/>
        <v>187.13333333333333</v>
      </c>
    </row>
    <row r="24" spans="1:11" x14ac:dyDescent="0.3">
      <c r="A24" s="1">
        <v>23</v>
      </c>
      <c r="B24" s="3">
        <v>45520</v>
      </c>
      <c r="C24" s="1" t="s">
        <v>15</v>
      </c>
      <c r="D24" s="1" t="s">
        <v>21</v>
      </c>
      <c r="E24" s="1" t="s">
        <v>10</v>
      </c>
      <c r="F24" s="1">
        <v>90</v>
      </c>
      <c r="G24" s="1">
        <v>42328</v>
      </c>
      <c r="H24" s="1" t="s">
        <v>11</v>
      </c>
      <c r="I24" s="1">
        <v>28</v>
      </c>
      <c r="J24" s="1" t="str">
        <f t="shared" si="0"/>
        <v>A1</v>
      </c>
      <c r="K24" s="6">
        <f t="shared" si="1"/>
        <v>470.31111111111113</v>
      </c>
    </row>
    <row r="25" spans="1:11" x14ac:dyDescent="0.3">
      <c r="A25" s="1">
        <v>24</v>
      </c>
      <c r="B25" s="3">
        <v>45296</v>
      </c>
      <c r="C25" s="1" t="s">
        <v>8</v>
      </c>
      <c r="D25" s="1" t="s">
        <v>19</v>
      </c>
      <c r="E25" s="1" t="s">
        <v>17</v>
      </c>
      <c r="F25" s="1">
        <v>458</v>
      </c>
      <c r="G25" s="1">
        <v>42873</v>
      </c>
      <c r="H25" s="1" t="s">
        <v>11</v>
      </c>
      <c r="I25" s="1">
        <v>57</v>
      </c>
      <c r="J25" s="1" t="str">
        <f t="shared" si="0"/>
        <v>A3</v>
      </c>
      <c r="K25" s="6">
        <f t="shared" si="1"/>
        <v>93.609170305676855</v>
      </c>
    </row>
    <row r="26" spans="1:11" x14ac:dyDescent="0.3">
      <c r="A26" s="1">
        <v>25</v>
      </c>
      <c r="B26" s="3">
        <v>45235</v>
      </c>
      <c r="C26" s="1" t="s">
        <v>12</v>
      </c>
      <c r="D26" s="1" t="s">
        <v>20</v>
      </c>
      <c r="E26" s="1" t="s">
        <v>10</v>
      </c>
      <c r="F26" s="1">
        <v>439</v>
      </c>
      <c r="G26" s="1">
        <v>31392</v>
      </c>
      <c r="H26" s="1" t="s">
        <v>18</v>
      </c>
      <c r="I26" s="1">
        <v>26</v>
      </c>
      <c r="J26" s="1" t="str">
        <f t="shared" si="0"/>
        <v>A1</v>
      </c>
      <c r="K26" s="6">
        <f t="shared" si="1"/>
        <v>71.50797266514806</v>
      </c>
    </row>
    <row r="27" spans="1:11" x14ac:dyDescent="0.3">
      <c r="A27" s="1">
        <v>26</v>
      </c>
      <c r="B27" s="3">
        <v>45530</v>
      </c>
      <c r="C27" s="1" t="s">
        <v>12</v>
      </c>
      <c r="D27" s="1" t="s">
        <v>24</v>
      </c>
      <c r="E27" s="1" t="s">
        <v>10</v>
      </c>
      <c r="F27" s="1">
        <v>406</v>
      </c>
      <c r="G27" s="1">
        <v>47880</v>
      </c>
      <c r="H27" s="1" t="s">
        <v>18</v>
      </c>
      <c r="I27" s="1">
        <v>42</v>
      </c>
      <c r="J27" s="1" t="str">
        <f t="shared" si="0"/>
        <v>A2</v>
      </c>
      <c r="K27" s="6">
        <f t="shared" si="1"/>
        <v>117.93103448275862</v>
      </c>
    </row>
    <row r="28" spans="1:11" x14ac:dyDescent="0.3">
      <c r="A28" s="1">
        <v>27</v>
      </c>
      <c r="B28" s="3">
        <v>45511</v>
      </c>
      <c r="C28" s="1" t="s">
        <v>12</v>
      </c>
      <c r="D28" s="1" t="s">
        <v>24</v>
      </c>
      <c r="E28" s="1" t="s">
        <v>23</v>
      </c>
      <c r="F28" s="1">
        <v>422</v>
      </c>
      <c r="G28" s="1">
        <v>13490</v>
      </c>
      <c r="H28" s="1" t="s">
        <v>11</v>
      </c>
      <c r="I28" s="1">
        <v>42</v>
      </c>
      <c r="J28" s="1" t="str">
        <f t="shared" si="0"/>
        <v>A2</v>
      </c>
      <c r="K28" s="6">
        <f t="shared" si="1"/>
        <v>31.966824644549764</v>
      </c>
    </row>
    <row r="29" spans="1:11" x14ac:dyDescent="0.3">
      <c r="A29" s="1">
        <v>28</v>
      </c>
      <c r="B29" s="3">
        <v>45286</v>
      </c>
      <c r="C29" s="1" t="s">
        <v>12</v>
      </c>
      <c r="D29" s="1" t="s">
        <v>19</v>
      </c>
      <c r="E29" s="1" t="s">
        <v>10</v>
      </c>
      <c r="F29" s="1">
        <v>444</v>
      </c>
      <c r="G29" s="1">
        <v>7272</v>
      </c>
      <c r="H29" s="1" t="s">
        <v>18</v>
      </c>
      <c r="I29" s="1">
        <v>57</v>
      </c>
      <c r="J29" s="1" t="str">
        <f t="shared" si="0"/>
        <v>A3</v>
      </c>
      <c r="K29" s="6">
        <f t="shared" si="1"/>
        <v>16.378378378378379</v>
      </c>
    </row>
    <row r="30" spans="1:11" x14ac:dyDescent="0.3">
      <c r="A30" s="1">
        <v>29</v>
      </c>
      <c r="B30" s="3">
        <v>45339</v>
      </c>
      <c r="C30" s="1" t="s">
        <v>12</v>
      </c>
      <c r="D30" s="1" t="s">
        <v>24</v>
      </c>
      <c r="E30" s="1" t="s">
        <v>23</v>
      </c>
      <c r="F30" s="1">
        <v>499</v>
      </c>
      <c r="G30" s="1">
        <v>48316</v>
      </c>
      <c r="H30" s="1" t="s">
        <v>11</v>
      </c>
      <c r="I30" s="1">
        <v>42</v>
      </c>
      <c r="J30" s="1" t="str">
        <f t="shared" si="0"/>
        <v>A2</v>
      </c>
      <c r="K30" s="6">
        <f t="shared" si="1"/>
        <v>96.825651302605209</v>
      </c>
    </row>
    <row r="31" spans="1:11" x14ac:dyDescent="0.3">
      <c r="A31" s="1">
        <v>30</v>
      </c>
      <c r="B31" s="3">
        <v>45200</v>
      </c>
      <c r="C31" s="1" t="s">
        <v>12</v>
      </c>
      <c r="D31" s="1" t="s">
        <v>25</v>
      </c>
      <c r="E31" s="1" t="s">
        <v>10</v>
      </c>
      <c r="F31" s="1">
        <v>290</v>
      </c>
      <c r="G31" s="1">
        <v>15132</v>
      </c>
      <c r="H31" s="1" t="s">
        <v>28</v>
      </c>
      <c r="I31" s="1">
        <v>25</v>
      </c>
      <c r="J31" s="1" t="str">
        <f t="shared" si="0"/>
        <v>A1</v>
      </c>
      <c r="K31" s="6">
        <f t="shared" si="1"/>
        <v>52.179310344827584</v>
      </c>
    </row>
    <row r="32" spans="1:11" x14ac:dyDescent="0.3">
      <c r="A32" s="1">
        <v>31</v>
      </c>
      <c r="B32" s="3">
        <v>45543</v>
      </c>
      <c r="C32" s="1" t="s">
        <v>15</v>
      </c>
      <c r="D32" s="1" t="s">
        <v>24</v>
      </c>
      <c r="E32" s="1" t="s">
        <v>23</v>
      </c>
      <c r="F32" s="1">
        <v>369</v>
      </c>
      <c r="G32" s="1">
        <v>5246</v>
      </c>
      <c r="H32" s="1" t="s">
        <v>18</v>
      </c>
      <c r="I32" s="1">
        <v>42</v>
      </c>
      <c r="J32" s="1" t="str">
        <f t="shared" si="0"/>
        <v>A2</v>
      </c>
      <c r="K32" s="6">
        <f t="shared" si="1"/>
        <v>14.21680216802168</v>
      </c>
    </row>
    <row r="33" spans="1:11" x14ac:dyDescent="0.3">
      <c r="A33" s="1">
        <v>32</v>
      </c>
      <c r="B33" s="3">
        <v>45371</v>
      </c>
      <c r="C33" s="1" t="s">
        <v>27</v>
      </c>
      <c r="D33" s="1" t="s">
        <v>24</v>
      </c>
      <c r="E33" s="1" t="s">
        <v>10</v>
      </c>
      <c r="F33" s="1">
        <v>389</v>
      </c>
      <c r="G33" s="1">
        <v>37744</v>
      </c>
      <c r="H33" s="1" t="s">
        <v>18</v>
      </c>
      <c r="I33" s="1">
        <v>42</v>
      </c>
      <c r="J33" s="1" t="str">
        <f t="shared" si="0"/>
        <v>A2</v>
      </c>
      <c r="K33" s="6">
        <f t="shared" si="1"/>
        <v>97.028277634961441</v>
      </c>
    </row>
    <row r="34" spans="1:11" x14ac:dyDescent="0.3">
      <c r="A34" s="1">
        <v>33</v>
      </c>
      <c r="B34" s="3">
        <v>45422</v>
      </c>
      <c r="C34" s="1" t="s">
        <v>27</v>
      </c>
      <c r="D34" s="1" t="s">
        <v>25</v>
      </c>
      <c r="E34" s="1" t="s">
        <v>23</v>
      </c>
      <c r="F34" s="1">
        <v>511</v>
      </c>
      <c r="G34" s="1">
        <v>679</v>
      </c>
      <c r="H34" s="1" t="s">
        <v>11</v>
      </c>
      <c r="I34" s="1">
        <v>25</v>
      </c>
      <c r="J34" s="1" t="str">
        <f t="shared" ref="J34:J65" si="2">IF(I34 &lt;= 35,"A1",IF(I34 &lt;= 45,"A2","A3"))</f>
        <v>A1</v>
      </c>
      <c r="K34" s="6">
        <f t="shared" si="1"/>
        <v>1.3287671232876712</v>
      </c>
    </row>
    <row r="35" spans="1:11" x14ac:dyDescent="0.3">
      <c r="A35" s="1">
        <v>34</v>
      </c>
      <c r="B35" s="3">
        <v>45251</v>
      </c>
      <c r="C35" s="1" t="s">
        <v>12</v>
      </c>
      <c r="D35" s="1" t="s">
        <v>22</v>
      </c>
      <c r="E35" s="1" t="s">
        <v>17</v>
      </c>
      <c r="F35" s="1">
        <v>333</v>
      </c>
      <c r="G35" s="1">
        <v>48000</v>
      </c>
      <c r="H35" s="1" t="s">
        <v>11</v>
      </c>
      <c r="I35" s="1">
        <v>28</v>
      </c>
      <c r="J35" s="1" t="str">
        <f t="shared" si="2"/>
        <v>A1</v>
      </c>
      <c r="K35" s="6">
        <f t="shared" si="1"/>
        <v>144.14414414414415</v>
      </c>
    </row>
    <row r="36" spans="1:11" x14ac:dyDescent="0.3">
      <c r="A36" s="1">
        <v>35</v>
      </c>
      <c r="B36" s="3">
        <v>45214</v>
      </c>
      <c r="C36" s="1" t="s">
        <v>12</v>
      </c>
      <c r="D36" s="1" t="s">
        <v>13</v>
      </c>
      <c r="E36" s="1" t="s">
        <v>17</v>
      </c>
      <c r="F36" s="1">
        <v>260</v>
      </c>
      <c r="G36" s="1">
        <v>34680</v>
      </c>
      <c r="H36" s="1" t="s">
        <v>18</v>
      </c>
      <c r="I36" s="1">
        <v>52</v>
      </c>
      <c r="J36" s="1" t="str">
        <f t="shared" si="2"/>
        <v>A3</v>
      </c>
      <c r="K36" s="6">
        <f t="shared" si="1"/>
        <v>133.38461538461539</v>
      </c>
    </row>
    <row r="37" spans="1:11" x14ac:dyDescent="0.3">
      <c r="A37" s="1">
        <v>36</v>
      </c>
      <c r="B37" s="3">
        <v>45230</v>
      </c>
      <c r="C37" s="1" t="s">
        <v>12</v>
      </c>
      <c r="D37" s="1" t="s">
        <v>20</v>
      </c>
      <c r="E37" s="1" t="s">
        <v>17</v>
      </c>
      <c r="F37" s="1">
        <v>460</v>
      </c>
      <c r="G37" s="1">
        <v>50274</v>
      </c>
      <c r="H37" s="1" t="s">
        <v>18</v>
      </c>
      <c r="I37" s="1">
        <v>26</v>
      </c>
      <c r="J37" s="1" t="str">
        <f t="shared" si="2"/>
        <v>A1</v>
      </c>
      <c r="K37" s="6">
        <f t="shared" si="1"/>
        <v>109.29130434782608</v>
      </c>
    </row>
    <row r="38" spans="1:11" x14ac:dyDescent="0.3">
      <c r="A38" s="1">
        <v>37</v>
      </c>
      <c r="B38" s="3">
        <v>45377</v>
      </c>
      <c r="C38" s="1" t="s">
        <v>15</v>
      </c>
      <c r="D38" s="1" t="s">
        <v>26</v>
      </c>
      <c r="E38" s="1" t="s">
        <v>10</v>
      </c>
      <c r="F38" s="1">
        <v>145</v>
      </c>
      <c r="G38" s="1">
        <v>43615</v>
      </c>
      <c r="H38" s="1" t="s">
        <v>18</v>
      </c>
      <c r="I38" s="1">
        <v>49</v>
      </c>
      <c r="J38" s="1" t="str">
        <f t="shared" si="2"/>
        <v>A3</v>
      </c>
      <c r="K38" s="6">
        <f t="shared" si="1"/>
        <v>300.79310344827587</v>
      </c>
    </row>
    <row r="39" spans="1:11" x14ac:dyDescent="0.3">
      <c r="A39" s="1">
        <v>38</v>
      </c>
      <c r="B39" s="3">
        <v>45467</v>
      </c>
      <c r="C39" s="1" t="s">
        <v>12</v>
      </c>
      <c r="D39" s="1" t="s">
        <v>24</v>
      </c>
      <c r="E39" s="1" t="s">
        <v>23</v>
      </c>
      <c r="F39" s="1">
        <v>115</v>
      </c>
      <c r="G39" s="1">
        <v>14076</v>
      </c>
      <c r="H39" s="1" t="s">
        <v>11</v>
      </c>
      <c r="I39" s="1">
        <v>42</v>
      </c>
      <c r="J39" s="1" t="str">
        <f t="shared" si="2"/>
        <v>A2</v>
      </c>
      <c r="K39" s="6">
        <f t="shared" si="1"/>
        <v>122.4</v>
      </c>
    </row>
    <row r="40" spans="1:11" x14ac:dyDescent="0.3">
      <c r="A40" s="1">
        <v>39</v>
      </c>
      <c r="B40" s="3">
        <v>45489</v>
      </c>
      <c r="C40" s="1" t="s">
        <v>15</v>
      </c>
      <c r="D40" s="1" t="s">
        <v>16</v>
      </c>
      <c r="E40" s="1" t="s">
        <v>10</v>
      </c>
      <c r="F40" s="1">
        <v>248</v>
      </c>
      <c r="G40" s="1">
        <v>12870</v>
      </c>
      <c r="H40" s="1" t="s">
        <v>11</v>
      </c>
      <c r="I40" s="1">
        <v>36</v>
      </c>
      <c r="J40" s="1" t="str">
        <f t="shared" si="2"/>
        <v>A2</v>
      </c>
      <c r="K40" s="6">
        <f t="shared" si="1"/>
        <v>51.895161290322584</v>
      </c>
    </row>
    <row r="41" spans="1:11" x14ac:dyDescent="0.3">
      <c r="A41" s="1">
        <v>40</v>
      </c>
      <c r="B41" s="3">
        <v>45221</v>
      </c>
      <c r="C41" s="1" t="s">
        <v>27</v>
      </c>
      <c r="D41" s="1" t="s">
        <v>13</v>
      </c>
      <c r="E41" s="1" t="s">
        <v>10</v>
      </c>
      <c r="F41" s="1">
        <v>165</v>
      </c>
      <c r="G41" s="1">
        <v>679</v>
      </c>
      <c r="H41" s="1" t="s">
        <v>18</v>
      </c>
      <c r="I41" s="1">
        <v>52</v>
      </c>
      <c r="J41" s="1" t="str">
        <f t="shared" si="2"/>
        <v>A3</v>
      </c>
      <c r="K41" s="6">
        <f t="shared" si="1"/>
        <v>4.1151515151515152</v>
      </c>
    </row>
    <row r="42" spans="1:11" x14ac:dyDescent="0.3">
      <c r="A42" s="1">
        <v>41</v>
      </c>
      <c r="B42" s="3">
        <v>45407</v>
      </c>
      <c r="C42" s="1" t="s">
        <v>12</v>
      </c>
      <c r="D42" s="1" t="s">
        <v>24</v>
      </c>
      <c r="E42" s="1" t="s">
        <v>14</v>
      </c>
      <c r="F42" s="1">
        <v>51</v>
      </c>
      <c r="G42" s="1">
        <v>35280</v>
      </c>
      <c r="H42" s="1" t="s">
        <v>18</v>
      </c>
      <c r="I42" s="1">
        <v>42</v>
      </c>
      <c r="J42" s="1" t="str">
        <f t="shared" si="2"/>
        <v>A2</v>
      </c>
      <c r="K42" s="6">
        <f t="shared" si="1"/>
        <v>691.76470588235293</v>
      </c>
    </row>
    <row r="43" spans="1:11" x14ac:dyDescent="0.3">
      <c r="A43" s="1">
        <v>42</v>
      </c>
      <c r="B43" s="3">
        <v>45424</v>
      </c>
      <c r="C43" s="1" t="s">
        <v>15</v>
      </c>
      <c r="D43" s="1" t="s">
        <v>24</v>
      </c>
      <c r="E43" s="1" t="s">
        <v>10</v>
      </c>
      <c r="F43" s="1">
        <v>382</v>
      </c>
      <c r="G43" s="1">
        <v>37490</v>
      </c>
      <c r="H43" s="1" t="s">
        <v>18</v>
      </c>
      <c r="I43" s="1">
        <v>42</v>
      </c>
      <c r="J43" s="1" t="str">
        <f t="shared" si="2"/>
        <v>A2</v>
      </c>
      <c r="K43" s="6">
        <f t="shared" si="1"/>
        <v>98.141361256544499</v>
      </c>
    </row>
    <row r="44" spans="1:11" x14ac:dyDescent="0.3">
      <c r="A44" s="1">
        <v>43</v>
      </c>
      <c r="B44" s="3">
        <v>45252</v>
      </c>
      <c r="C44" s="1" t="s">
        <v>15</v>
      </c>
      <c r="D44" s="1" t="s">
        <v>24</v>
      </c>
      <c r="E44" s="1" t="s">
        <v>10</v>
      </c>
      <c r="F44" s="1">
        <v>354</v>
      </c>
      <c r="G44" s="1">
        <v>679</v>
      </c>
      <c r="H44" s="1" t="s">
        <v>18</v>
      </c>
      <c r="I44" s="1">
        <v>42</v>
      </c>
      <c r="J44" s="1" t="str">
        <f t="shared" si="2"/>
        <v>A2</v>
      </c>
      <c r="K44" s="6">
        <f t="shared" si="1"/>
        <v>1.9180790960451977</v>
      </c>
    </row>
    <row r="45" spans="1:11" x14ac:dyDescent="0.3">
      <c r="A45" s="1">
        <v>44</v>
      </c>
      <c r="B45" s="3">
        <v>45451</v>
      </c>
      <c r="C45" s="1" t="s">
        <v>27</v>
      </c>
      <c r="D45" s="1" t="s">
        <v>13</v>
      </c>
      <c r="E45" s="1" t="s">
        <v>14</v>
      </c>
      <c r="F45" s="1">
        <v>368</v>
      </c>
      <c r="G45" s="1">
        <v>46068</v>
      </c>
      <c r="H45" s="1" t="s">
        <v>11</v>
      </c>
      <c r="I45" s="1">
        <v>52</v>
      </c>
      <c r="J45" s="1" t="str">
        <f t="shared" si="2"/>
        <v>A3</v>
      </c>
      <c r="K45" s="6">
        <f t="shared" si="1"/>
        <v>125.18478260869566</v>
      </c>
    </row>
    <row r="46" spans="1:11" x14ac:dyDescent="0.3">
      <c r="A46" s="1">
        <v>45</v>
      </c>
      <c r="B46" s="3">
        <v>45458</v>
      </c>
      <c r="C46" s="1" t="s">
        <v>12</v>
      </c>
      <c r="D46" s="1" t="s">
        <v>16</v>
      </c>
      <c r="E46" s="1" t="s">
        <v>23</v>
      </c>
      <c r="F46" s="1">
        <v>79</v>
      </c>
      <c r="G46" s="1">
        <v>11078</v>
      </c>
      <c r="H46" s="1" t="s">
        <v>11</v>
      </c>
      <c r="I46" s="1">
        <v>36</v>
      </c>
      <c r="J46" s="1" t="str">
        <f t="shared" si="2"/>
        <v>A2</v>
      </c>
      <c r="K46" s="6">
        <f t="shared" si="1"/>
        <v>140.22784810126583</v>
      </c>
    </row>
    <row r="47" spans="1:11" x14ac:dyDescent="0.3">
      <c r="A47" s="1">
        <v>46</v>
      </c>
      <c r="B47" s="3">
        <v>45207</v>
      </c>
      <c r="C47" s="1" t="s">
        <v>12</v>
      </c>
      <c r="D47" s="1" t="s">
        <v>21</v>
      </c>
      <c r="E47" s="1" t="s">
        <v>10</v>
      </c>
      <c r="F47" s="1">
        <v>231</v>
      </c>
      <c r="G47" s="1">
        <v>32045</v>
      </c>
      <c r="H47" s="1" t="s">
        <v>11</v>
      </c>
      <c r="I47" s="1">
        <v>28</v>
      </c>
      <c r="J47" s="1" t="str">
        <f t="shared" si="2"/>
        <v>A1</v>
      </c>
      <c r="K47" s="6">
        <f t="shared" si="1"/>
        <v>138.72294372294371</v>
      </c>
    </row>
    <row r="48" spans="1:11" x14ac:dyDescent="0.3">
      <c r="A48" s="1">
        <v>47</v>
      </c>
      <c r="B48" s="3">
        <v>45228</v>
      </c>
      <c r="C48" s="1" t="s">
        <v>27</v>
      </c>
      <c r="D48" s="1" t="s">
        <v>19</v>
      </c>
      <c r="E48" s="1" t="s">
        <v>10</v>
      </c>
      <c r="F48" s="1">
        <v>288</v>
      </c>
      <c r="G48" s="1">
        <v>33284</v>
      </c>
      <c r="H48" s="1" t="s">
        <v>11</v>
      </c>
      <c r="I48" s="1">
        <v>57</v>
      </c>
      <c r="J48" s="1" t="str">
        <f t="shared" si="2"/>
        <v>A3</v>
      </c>
      <c r="K48" s="6">
        <f t="shared" si="1"/>
        <v>115.56944444444444</v>
      </c>
    </row>
    <row r="49" spans="1:11" x14ac:dyDescent="0.3">
      <c r="A49" s="1">
        <v>48</v>
      </c>
      <c r="B49" s="3">
        <v>45191</v>
      </c>
      <c r="C49" s="1" t="s">
        <v>15</v>
      </c>
      <c r="D49" s="1" t="s">
        <v>20</v>
      </c>
      <c r="E49" s="1" t="s">
        <v>23</v>
      </c>
      <c r="F49" s="1">
        <v>214</v>
      </c>
      <c r="G49" s="1">
        <v>11954</v>
      </c>
      <c r="H49" s="1" t="s">
        <v>11</v>
      </c>
      <c r="I49" s="1">
        <v>26</v>
      </c>
      <c r="J49" s="1" t="str">
        <f t="shared" si="2"/>
        <v>A1</v>
      </c>
      <c r="K49" s="6">
        <f t="shared" si="1"/>
        <v>55.859813084112147</v>
      </c>
    </row>
    <row r="50" spans="1:11" x14ac:dyDescent="0.3">
      <c r="A50" s="1">
        <v>49</v>
      </c>
      <c r="B50" s="3">
        <v>45350</v>
      </c>
      <c r="C50" s="1" t="s">
        <v>8</v>
      </c>
      <c r="D50" s="1" t="s">
        <v>20</v>
      </c>
      <c r="E50" s="1" t="s">
        <v>17</v>
      </c>
      <c r="F50" s="1">
        <v>74</v>
      </c>
      <c r="G50" s="1">
        <v>36708</v>
      </c>
      <c r="H50" s="1" t="s">
        <v>18</v>
      </c>
      <c r="I50" s="1">
        <v>26</v>
      </c>
      <c r="J50" s="1" t="str">
        <f t="shared" si="2"/>
        <v>A1</v>
      </c>
      <c r="K50" s="6">
        <f t="shared" si="1"/>
        <v>496.05405405405406</v>
      </c>
    </row>
    <row r="51" spans="1:11" x14ac:dyDescent="0.3">
      <c r="A51" s="1">
        <v>50</v>
      </c>
      <c r="B51" s="3">
        <v>45234</v>
      </c>
      <c r="C51" s="1" t="s">
        <v>15</v>
      </c>
      <c r="D51" s="1" t="s">
        <v>9</v>
      </c>
      <c r="E51" s="1" t="s">
        <v>14</v>
      </c>
      <c r="F51" s="1">
        <v>177</v>
      </c>
      <c r="G51" s="1">
        <v>30600</v>
      </c>
      <c r="H51" s="1" t="s">
        <v>18</v>
      </c>
      <c r="I51" s="1">
        <v>25</v>
      </c>
      <c r="J51" s="1" t="str">
        <f t="shared" si="2"/>
        <v>A1</v>
      </c>
      <c r="K51" s="6">
        <f t="shared" si="1"/>
        <v>172.88135593220338</v>
      </c>
    </row>
    <row r="52" spans="1:11" x14ac:dyDescent="0.3">
      <c r="A52" s="1">
        <v>51</v>
      </c>
      <c r="B52" s="3">
        <v>45364</v>
      </c>
      <c r="C52" s="1" t="s">
        <v>8</v>
      </c>
      <c r="D52" s="1" t="s">
        <v>19</v>
      </c>
      <c r="E52" s="1" t="s">
        <v>17</v>
      </c>
      <c r="F52" s="1">
        <v>358</v>
      </c>
      <c r="G52" s="1">
        <v>13568</v>
      </c>
      <c r="H52" s="1" t="s">
        <v>11</v>
      </c>
      <c r="I52" s="1">
        <v>57</v>
      </c>
      <c r="J52" s="1" t="str">
        <f t="shared" si="2"/>
        <v>A3</v>
      </c>
      <c r="K52" s="6">
        <f t="shared" si="1"/>
        <v>37.899441340782126</v>
      </c>
    </row>
    <row r="53" spans="1:11" x14ac:dyDescent="0.3">
      <c r="A53" s="1">
        <v>52</v>
      </c>
      <c r="B53" s="3">
        <v>45350</v>
      </c>
      <c r="C53" s="1" t="s">
        <v>8</v>
      </c>
      <c r="D53" s="1" t="s">
        <v>24</v>
      </c>
      <c r="E53" s="1" t="s">
        <v>17</v>
      </c>
      <c r="F53" s="1">
        <v>343</v>
      </c>
      <c r="G53" s="1">
        <v>33344</v>
      </c>
      <c r="H53" s="1" t="s">
        <v>18</v>
      </c>
      <c r="I53" s="1">
        <v>42</v>
      </c>
      <c r="J53" s="1" t="str">
        <f t="shared" si="2"/>
        <v>A2</v>
      </c>
      <c r="K53" s="6">
        <f t="shared" si="1"/>
        <v>97.212827988338191</v>
      </c>
    </row>
    <row r="54" spans="1:11" x14ac:dyDescent="0.3">
      <c r="A54" s="1">
        <v>53</v>
      </c>
      <c r="B54" s="3">
        <v>45216</v>
      </c>
      <c r="C54" s="1" t="s">
        <v>27</v>
      </c>
      <c r="D54" s="1" t="s">
        <v>24</v>
      </c>
      <c r="E54" s="1" t="s">
        <v>17</v>
      </c>
      <c r="F54" s="1">
        <v>63</v>
      </c>
      <c r="G54" s="1">
        <v>3960</v>
      </c>
      <c r="H54" s="1" t="s">
        <v>18</v>
      </c>
      <c r="I54" s="1">
        <v>42</v>
      </c>
      <c r="J54" s="1" t="str">
        <f t="shared" si="2"/>
        <v>A2</v>
      </c>
      <c r="K54" s="6">
        <f t="shared" si="1"/>
        <v>62.857142857142854</v>
      </c>
    </row>
    <row r="55" spans="1:11" x14ac:dyDescent="0.3">
      <c r="A55" s="1">
        <v>54</v>
      </c>
      <c r="B55" s="3">
        <v>45510</v>
      </c>
      <c r="C55" s="1" t="s">
        <v>12</v>
      </c>
      <c r="D55" s="1" t="s">
        <v>22</v>
      </c>
      <c r="E55" s="1" t="s">
        <v>10</v>
      </c>
      <c r="F55" s="1">
        <v>429</v>
      </c>
      <c r="G55" s="1">
        <v>58208</v>
      </c>
      <c r="H55" s="1" t="s">
        <v>18</v>
      </c>
      <c r="I55" s="1">
        <v>28</v>
      </c>
      <c r="J55" s="1" t="str">
        <f t="shared" si="2"/>
        <v>A1</v>
      </c>
      <c r="K55" s="6">
        <f t="shared" si="1"/>
        <v>135.68298368298369</v>
      </c>
    </row>
    <row r="56" spans="1:11" x14ac:dyDescent="0.3">
      <c r="A56" s="1">
        <v>55</v>
      </c>
      <c r="B56" s="3">
        <v>45549</v>
      </c>
      <c r="C56" s="1" t="s">
        <v>8</v>
      </c>
      <c r="D56" s="1" t="s">
        <v>24</v>
      </c>
      <c r="E56" s="1" t="s">
        <v>14</v>
      </c>
      <c r="F56" s="1">
        <v>491</v>
      </c>
      <c r="G56" s="1">
        <v>59458</v>
      </c>
      <c r="H56" s="1" t="s">
        <v>18</v>
      </c>
      <c r="I56" s="1">
        <v>42</v>
      </c>
      <c r="J56" s="1" t="str">
        <f t="shared" si="2"/>
        <v>A2</v>
      </c>
      <c r="K56" s="6">
        <f t="shared" si="1"/>
        <v>121.09572301425662</v>
      </c>
    </row>
    <row r="57" spans="1:11" x14ac:dyDescent="0.3">
      <c r="A57" s="1">
        <v>56</v>
      </c>
      <c r="B57" s="3">
        <v>45193</v>
      </c>
      <c r="C57" s="1" t="s">
        <v>12</v>
      </c>
      <c r="D57" s="1" t="s">
        <v>24</v>
      </c>
      <c r="E57" s="1" t="s">
        <v>10</v>
      </c>
      <c r="F57" s="1">
        <v>344</v>
      </c>
      <c r="G57" s="1">
        <v>13872</v>
      </c>
      <c r="H57" s="1" t="s">
        <v>11</v>
      </c>
      <c r="I57" s="1">
        <v>42</v>
      </c>
      <c r="J57" s="1" t="str">
        <f t="shared" si="2"/>
        <v>A2</v>
      </c>
      <c r="K57" s="6">
        <f t="shared" si="1"/>
        <v>40.325581395348834</v>
      </c>
    </row>
    <row r="58" spans="1:11" x14ac:dyDescent="0.3">
      <c r="A58" s="1">
        <v>57</v>
      </c>
      <c r="B58" s="3">
        <v>45296</v>
      </c>
      <c r="C58" s="1" t="s">
        <v>12</v>
      </c>
      <c r="D58" s="1" t="s">
        <v>9</v>
      </c>
      <c r="E58" s="1" t="s">
        <v>14</v>
      </c>
      <c r="F58" s="1">
        <v>255</v>
      </c>
      <c r="G58" s="1">
        <v>57706</v>
      </c>
      <c r="H58" s="1" t="s">
        <v>11</v>
      </c>
      <c r="I58" s="1">
        <v>25</v>
      </c>
      <c r="J58" s="1" t="str">
        <f t="shared" si="2"/>
        <v>A1</v>
      </c>
      <c r="K58" s="6">
        <f t="shared" si="1"/>
        <v>226.29803921568629</v>
      </c>
    </row>
    <row r="59" spans="1:11" x14ac:dyDescent="0.3">
      <c r="A59" s="1">
        <v>58</v>
      </c>
      <c r="B59" s="3">
        <v>45292</v>
      </c>
      <c r="C59" s="1" t="s">
        <v>8</v>
      </c>
      <c r="D59" s="1" t="s">
        <v>24</v>
      </c>
      <c r="E59" s="1" t="s">
        <v>10</v>
      </c>
      <c r="F59" s="1">
        <v>160</v>
      </c>
      <c r="G59" s="1">
        <v>59248</v>
      </c>
      <c r="H59" s="1" t="s">
        <v>11</v>
      </c>
      <c r="I59" s="1">
        <v>42</v>
      </c>
      <c r="J59" s="1" t="str">
        <f t="shared" si="2"/>
        <v>A2</v>
      </c>
      <c r="K59" s="6">
        <f t="shared" si="1"/>
        <v>370.3</v>
      </c>
    </row>
    <row r="60" spans="1:11" x14ac:dyDescent="0.3">
      <c r="A60" s="1">
        <v>59</v>
      </c>
      <c r="B60" s="3">
        <v>45453</v>
      </c>
      <c r="C60" s="1" t="s">
        <v>15</v>
      </c>
      <c r="D60" s="1" t="s">
        <v>9</v>
      </c>
      <c r="E60" s="1" t="s">
        <v>23</v>
      </c>
      <c r="F60" s="1">
        <v>322</v>
      </c>
      <c r="G60" s="1">
        <v>29440</v>
      </c>
      <c r="H60" s="1" t="s">
        <v>18</v>
      </c>
      <c r="I60" s="1">
        <v>25</v>
      </c>
      <c r="J60" s="1" t="str">
        <f t="shared" si="2"/>
        <v>A1</v>
      </c>
      <c r="K60" s="6">
        <f t="shared" si="1"/>
        <v>91.428571428571431</v>
      </c>
    </row>
    <row r="61" spans="1:11" x14ac:dyDescent="0.3">
      <c r="A61" s="1">
        <v>60</v>
      </c>
      <c r="B61" s="3">
        <v>45372</v>
      </c>
      <c r="C61" s="1" t="s">
        <v>15</v>
      </c>
      <c r="D61" s="1" t="s">
        <v>9</v>
      </c>
      <c r="E61" s="1" t="s">
        <v>17</v>
      </c>
      <c r="F61" s="1">
        <v>178</v>
      </c>
      <c r="G61" s="1">
        <v>679</v>
      </c>
      <c r="H61" s="1" t="s">
        <v>18</v>
      </c>
      <c r="I61" s="1">
        <v>25</v>
      </c>
      <c r="J61" s="1" t="str">
        <f t="shared" si="2"/>
        <v>A1</v>
      </c>
      <c r="K61" s="6">
        <f t="shared" si="1"/>
        <v>3.8146067415730336</v>
      </c>
    </row>
    <row r="62" spans="1:11" x14ac:dyDescent="0.3">
      <c r="A62" s="1">
        <v>61</v>
      </c>
      <c r="B62" s="3">
        <v>45286</v>
      </c>
      <c r="C62" s="1" t="s">
        <v>12</v>
      </c>
      <c r="D62" s="1" t="s">
        <v>13</v>
      </c>
      <c r="E62" s="1" t="s">
        <v>10</v>
      </c>
      <c r="F62" s="1">
        <v>151</v>
      </c>
      <c r="G62" s="1">
        <v>8475</v>
      </c>
      <c r="H62" s="1" t="s">
        <v>11</v>
      </c>
      <c r="I62" s="1">
        <v>52</v>
      </c>
      <c r="J62" s="1" t="str">
        <f t="shared" si="2"/>
        <v>A3</v>
      </c>
      <c r="K62" s="6">
        <f t="shared" si="1"/>
        <v>56.12582781456954</v>
      </c>
    </row>
    <row r="63" spans="1:11" x14ac:dyDescent="0.3">
      <c r="A63" s="1">
        <v>62</v>
      </c>
      <c r="B63" s="3">
        <v>45350</v>
      </c>
      <c r="C63" s="1" t="s">
        <v>12</v>
      </c>
      <c r="D63" s="1" t="s">
        <v>19</v>
      </c>
      <c r="E63" s="1" t="s">
        <v>17</v>
      </c>
      <c r="F63" s="1">
        <v>535</v>
      </c>
      <c r="G63" s="1">
        <v>44330</v>
      </c>
      <c r="H63" s="1" t="s">
        <v>18</v>
      </c>
      <c r="I63" s="1">
        <v>57</v>
      </c>
      <c r="J63" s="1" t="str">
        <f t="shared" si="2"/>
        <v>A3</v>
      </c>
      <c r="K63" s="6">
        <f t="shared" si="1"/>
        <v>82.859813084112147</v>
      </c>
    </row>
    <row r="64" spans="1:11" x14ac:dyDescent="0.3">
      <c r="A64" s="1">
        <v>63</v>
      </c>
      <c r="B64" s="3">
        <v>45510</v>
      </c>
      <c r="C64" s="1" t="s">
        <v>27</v>
      </c>
      <c r="D64" s="1" t="s">
        <v>9</v>
      </c>
      <c r="E64" s="1" t="s">
        <v>10</v>
      </c>
      <c r="F64" s="1">
        <v>305</v>
      </c>
      <c r="G64" s="1">
        <v>3186</v>
      </c>
      <c r="H64" s="1" t="s">
        <v>11</v>
      </c>
      <c r="I64" s="1">
        <v>25</v>
      </c>
      <c r="J64" s="1" t="str">
        <f t="shared" si="2"/>
        <v>A1</v>
      </c>
      <c r="K64" s="6">
        <f t="shared" si="1"/>
        <v>10.445901639344262</v>
      </c>
    </row>
    <row r="65" spans="1:11" x14ac:dyDescent="0.3">
      <c r="A65" s="1">
        <v>64</v>
      </c>
      <c r="B65" s="3">
        <v>45432</v>
      </c>
      <c r="C65" s="1" t="s">
        <v>12</v>
      </c>
      <c r="D65" s="1" t="s">
        <v>9</v>
      </c>
      <c r="E65" s="1" t="s">
        <v>23</v>
      </c>
      <c r="F65" s="1">
        <v>188</v>
      </c>
      <c r="G65" s="1">
        <v>679</v>
      </c>
      <c r="H65" s="1" t="s">
        <v>11</v>
      </c>
      <c r="I65" s="1">
        <v>25</v>
      </c>
      <c r="J65" s="1" t="str">
        <f t="shared" si="2"/>
        <v>A1</v>
      </c>
      <c r="K65" s="6">
        <f t="shared" si="1"/>
        <v>3.6117021276595747</v>
      </c>
    </row>
    <row r="66" spans="1:11" x14ac:dyDescent="0.3">
      <c r="A66" s="1">
        <v>65</v>
      </c>
      <c r="B66" s="3">
        <v>45378</v>
      </c>
      <c r="C66" s="1" t="s">
        <v>27</v>
      </c>
      <c r="D66" s="1" t="s">
        <v>24</v>
      </c>
      <c r="E66" s="1" t="s">
        <v>10</v>
      </c>
      <c r="F66" s="1">
        <v>495</v>
      </c>
      <c r="G66" s="1">
        <v>679</v>
      </c>
      <c r="H66" s="1" t="s">
        <v>18</v>
      </c>
      <c r="I66" s="1">
        <v>42</v>
      </c>
      <c r="J66" s="1" t="str">
        <f t="shared" ref="J66:J97" si="3">IF(I66 &lt;= 35,"A1",IF(I66 &lt;= 45,"A2","A3"))</f>
        <v>A2</v>
      </c>
      <c r="K66" s="6">
        <f t="shared" si="1"/>
        <v>1.3717171717171717</v>
      </c>
    </row>
    <row r="67" spans="1:11" x14ac:dyDescent="0.3">
      <c r="A67" s="1">
        <v>66</v>
      </c>
      <c r="B67" s="3">
        <v>45390</v>
      </c>
      <c r="C67" s="1" t="s">
        <v>12</v>
      </c>
      <c r="D67" s="1" t="s">
        <v>21</v>
      </c>
      <c r="E67" s="1" t="s">
        <v>23</v>
      </c>
      <c r="F67" s="1">
        <v>190</v>
      </c>
      <c r="G67" s="1">
        <v>28050</v>
      </c>
      <c r="H67" s="1" t="s">
        <v>11</v>
      </c>
      <c r="I67" s="1">
        <v>28</v>
      </c>
      <c r="J67" s="1" t="str">
        <f t="shared" si="3"/>
        <v>A1</v>
      </c>
      <c r="K67" s="6">
        <f t="shared" ref="K67:K121" si="4">G67/F67</f>
        <v>147.63157894736841</v>
      </c>
    </row>
    <row r="68" spans="1:11" x14ac:dyDescent="0.3">
      <c r="A68" s="1">
        <v>67</v>
      </c>
      <c r="B68" s="3">
        <v>45249</v>
      </c>
      <c r="C68" s="1" t="s">
        <v>12</v>
      </c>
      <c r="D68" s="1" t="s">
        <v>20</v>
      </c>
      <c r="E68" s="1" t="s">
        <v>10</v>
      </c>
      <c r="F68" s="1">
        <v>511</v>
      </c>
      <c r="G68" s="1">
        <v>16698</v>
      </c>
      <c r="H68" s="1" t="s">
        <v>28</v>
      </c>
      <c r="I68" s="1">
        <v>26</v>
      </c>
      <c r="J68" s="1" t="str">
        <f t="shared" si="3"/>
        <v>A1</v>
      </c>
      <c r="K68" s="6">
        <f t="shared" si="4"/>
        <v>32.677103718199611</v>
      </c>
    </row>
    <row r="69" spans="1:11" x14ac:dyDescent="0.3">
      <c r="A69" s="1">
        <v>68</v>
      </c>
      <c r="B69" s="3">
        <v>45350</v>
      </c>
      <c r="C69" s="1" t="s">
        <v>8</v>
      </c>
      <c r="D69" s="1" t="s">
        <v>26</v>
      </c>
      <c r="E69" s="1" t="s">
        <v>10</v>
      </c>
      <c r="F69" s="1">
        <v>308</v>
      </c>
      <c r="G69" s="1">
        <v>27956</v>
      </c>
      <c r="H69" s="1" t="s">
        <v>28</v>
      </c>
      <c r="I69" s="1">
        <v>49</v>
      </c>
      <c r="J69" s="1" t="str">
        <f t="shared" si="3"/>
        <v>A3</v>
      </c>
      <c r="K69" s="6">
        <f t="shared" si="4"/>
        <v>90.766233766233768</v>
      </c>
    </row>
    <row r="70" spans="1:11" x14ac:dyDescent="0.3">
      <c r="A70" s="1">
        <v>69</v>
      </c>
      <c r="B70" s="3">
        <v>45532</v>
      </c>
      <c r="C70" s="1" t="s">
        <v>27</v>
      </c>
      <c r="D70" s="1" t="s">
        <v>16</v>
      </c>
      <c r="E70" s="1" t="s">
        <v>14</v>
      </c>
      <c r="F70" s="1">
        <v>183</v>
      </c>
      <c r="G70" s="1">
        <v>679</v>
      </c>
      <c r="H70" s="1" t="s">
        <v>18</v>
      </c>
      <c r="I70" s="1">
        <v>36</v>
      </c>
      <c r="J70" s="1" t="str">
        <f t="shared" si="3"/>
        <v>A2</v>
      </c>
      <c r="K70" s="6">
        <f t="shared" si="4"/>
        <v>3.7103825136612021</v>
      </c>
    </row>
    <row r="71" spans="1:11" x14ac:dyDescent="0.3">
      <c r="A71" s="1">
        <v>70</v>
      </c>
      <c r="B71" s="3">
        <v>45232</v>
      </c>
      <c r="C71" s="1" t="s">
        <v>15</v>
      </c>
      <c r="D71" s="1" t="s">
        <v>24</v>
      </c>
      <c r="E71" s="1" t="s">
        <v>14</v>
      </c>
      <c r="F71" s="1">
        <v>335</v>
      </c>
      <c r="G71" s="1">
        <v>36984</v>
      </c>
      <c r="H71" s="1" t="s">
        <v>11</v>
      </c>
      <c r="I71" s="1">
        <v>42</v>
      </c>
      <c r="J71" s="1" t="str">
        <f t="shared" si="3"/>
        <v>A2</v>
      </c>
      <c r="K71" s="6">
        <f t="shared" si="4"/>
        <v>110.4</v>
      </c>
    </row>
    <row r="72" spans="1:11" x14ac:dyDescent="0.3">
      <c r="A72" s="1">
        <v>71</v>
      </c>
      <c r="B72" s="3">
        <v>45350</v>
      </c>
      <c r="C72" s="1" t="s">
        <v>15</v>
      </c>
      <c r="D72" s="1" t="s">
        <v>26</v>
      </c>
      <c r="E72" s="1" t="s">
        <v>14</v>
      </c>
      <c r="F72" s="1">
        <v>95</v>
      </c>
      <c r="G72" s="1">
        <v>46800</v>
      </c>
      <c r="H72" s="1" t="s">
        <v>18</v>
      </c>
      <c r="I72" s="1">
        <v>49</v>
      </c>
      <c r="J72" s="1" t="str">
        <f t="shared" si="3"/>
        <v>A3</v>
      </c>
      <c r="K72" s="6">
        <f t="shared" si="4"/>
        <v>492.63157894736844</v>
      </c>
    </row>
    <row r="73" spans="1:11" x14ac:dyDescent="0.3">
      <c r="A73" s="1">
        <v>72</v>
      </c>
      <c r="B73" s="3">
        <v>45356</v>
      </c>
      <c r="C73" s="1" t="s">
        <v>15</v>
      </c>
      <c r="D73" s="1" t="s">
        <v>24</v>
      </c>
      <c r="E73" s="1" t="s">
        <v>14</v>
      </c>
      <c r="F73" s="1">
        <v>218</v>
      </c>
      <c r="G73" s="1">
        <v>7125</v>
      </c>
      <c r="H73" s="1" t="s">
        <v>18</v>
      </c>
      <c r="I73" s="1">
        <v>42</v>
      </c>
      <c r="J73" s="1" t="str">
        <f t="shared" si="3"/>
        <v>A2</v>
      </c>
      <c r="K73" s="6">
        <f t="shared" si="4"/>
        <v>32.683486238532112</v>
      </c>
    </row>
    <row r="74" spans="1:11" x14ac:dyDescent="0.3">
      <c r="A74" s="1">
        <v>73</v>
      </c>
      <c r="B74" s="3">
        <v>45506</v>
      </c>
      <c r="C74" s="1" t="s">
        <v>12</v>
      </c>
      <c r="D74" s="1" t="s">
        <v>24</v>
      </c>
      <c r="E74" s="1" t="s">
        <v>17</v>
      </c>
      <c r="F74" s="1">
        <v>265</v>
      </c>
      <c r="G74" s="1">
        <v>12320</v>
      </c>
      <c r="H74" s="1" t="s">
        <v>11</v>
      </c>
      <c r="I74" s="1">
        <v>42</v>
      </c>
      <c r="J74" s="1" t="str">
        <f t="shared" si="3"/>
        <v>A2</v>
      </c>
      <c r="K74" s="6">
        <f t="shared" si="4"/>
        <v>46.490566037735846</v>
      </c>
    </row>
    <row r="75" spans="1:11" x14ac:dyDescent="0.3">
      <c r="A75" s="1">
        <v>74</v>
      </c>
      <c r="B75" s="3">
        <v>45197</v>
      </c>
      <c r="C75" s="1" t="s">
        <v>12</v>
      </c>
      <c r="D75" s="1" t="s">
        <v>13</v>
      </c>
      <c r="E75" s="1" t="s">
        <v>23</v>
      </c>
      <c r="F75" s="1">
        <v>213</v>
      </c>
      <c r="G75" s="1">
        <v>42028</v>
      </c>
      <c r="H75" s="1" t="s">
        <v>11</v>
      </c>
      <c r="I75" s="1">
        <v>52</v>
      </c>
      <c r="J75" s="1" t="str">
        <f t="shared" si="3"/>
        <v>A3</v>
      </c>
      <c r="K75" s="6">
        <f t="shared" si="4"/>
        <v>197.31455399061034</v>
      </c>
    </row>
    <row r="76" spans="1:11" x14ac:dyDescent="0.3">
      <c r="A76" s="1">
        <v>75</v>
      </c>
      <c r="B76" s="3">
        <v>45357</v>
      </c>
      <c r="C76" s="1" t="s">
        <v>12</v>
      </c>
      <c r="D76" s="1" t="s">
        <v>22</v>
      </c>
      <c r="E76" s="1" t="s">
        <v>10</v>
      </c>
      <c r="F76" s="1">
        <v>128</v>
      </c>
      <c r="G76" s="1">
        <v>679</v>
      </c>
      <c r="H76" s="1" t="s">
        <v>18</v>
      </c>
      <c r="I76" s="1">
        <v>28</v>
      </c>
      <c r="J76" s="1" t="str">
        <f t="shared" si="3"/>
        <v>A1</v>
      </c>
      <c r="K76" s="6">
        <f t="shared" si="4"/>
        <v>5.3046875</v>
      </c>
    </row>
    <row r="77" spans="1:11" x14ac:dyDescent="0.3">
      <c r="A77" s="1">
        <v>76</v>
      </c>
      <c r="B77" s="3">
        <v>45217</v>
      </c>
      <c r="C77" s="1" t="s">
        <v>15</v>
      </c>
      <c r="D77" s="1" t="s">
        <v>9</v>
      </c>
      <c r="E77" s="1" t="s">
        <v>23</v>
      </c>
      <c r="F77" s="1">
        <v>208</v>
      </c>
      <c r="G77" s="1">
        <v>25758</v>
      </c>
      <c r="H77" s="1" t="s">
        <v>28</v>
      </c>
      <c r="I77" s="1">
        <v>25</v>
      </c>
      <c r="J77" s="1" t="str">
        <f t="shared" si="3"/>
        <v>A1</v>
      </c>
      <c r="K77" s="6">
        <f t="shared" si="4"/>
        <v>123.83653846153847</v>
      </c>
    </row>
    <row r="78" spans="1:11" x14ac:dyDescent="0.3">
      <c r="A78" s="1">
        <v>77</v>
      </c>
      <c r="B78" s="3">
        <v>45478</v>
      </c>
      <c r="C78" s="1" t="s">
        <v>12</v>
      </c>
      <c r="D78" s="1" t="s">
        <v>24</v>
      </c>
      <c r="E78" s="1" t="s">
        <v>14</v>
      </c>
      <c r="F78" s="1">
        <v>115</v>
      </c>
      <c r="G78" s="1">
        <v>34804</v>
      </c>
      <c r="H78" s="1" t="s">
        <v>11</v>
      </c>
      <c r="I78" s="1">
        <v>42</v>
      </c>
      <c r="J78" s="1" t="str">
        <f t="shared" si="3"/>
        <v>A2</v>
      </c>
      <c r="K78" s="6">
        <f t="shared" si="4"/>
        <v>302.64347826086959</v>
      </c>
    </row>
    <row r="79" spans="1:11" x14ac:dyDescent="0.3">
      <c r="A79" s="1">
        <v>78</v>
      </c>
      <c r="B79" s="3">
        <v>45469</v>
      </c>
      <c r="C79" s="1" t="s">
        <v>8</v>
      </c>
      <c r="D79" s="1" t="s">
        <v>20</v>
      </c>
      <c r="E79" s="1" t="s">
        <v>10</v>
      </c>
      <c r="F79" s="1">
        <v>465</v>
      </c>
      <c r="G79" s="1">
        <v>679</v>
      </c>
      <c r="H79" s="1" t="s">
        <v>11</v>
      </c>
      <c r="I79" s="1">
        <v>26</v>
      </c>
      <c r="J79" s="1" t="str">
        <f t="shared" si="3"/>
        <v>A1</v>
      </c>
      <c r="K79" s="6">
        <f t="shared" si="4"/>
        <v>1.4602150537634409</v>
      </c>
    </row>
    <row r="80" spans="1:11" x14ac:dyDescent="0.3">
      <c r="A80" s="1">
        <v>79</v>
      </c>
      <c r="B80" s="3">
        <v>45544</v>
      </c>
      <c r="C80" s="1" t="s">
        <v>27</v>
      </c>
      <c r="D80" s="1" t="s">
        <v>24</v>
      </c>
      <c r="E80" s="1" t="s">
        <v>17</v>
      </c>
      <c r="F80" s="1">
        <v>519</v>
      </c>
      <c r="G80" s="1">
        <v>45312</v>
      </c>
      <c r="H80" s="1" t="s">
        <v>18</v>
      </c>
      <c r="I80" s="1">
        <v>42</v>
      </c>
      <c r="J80" s="1" t="str">
        <f t="shared" si="3"/>
        <v>A2</v>
      </c>
      <c r="K80" s="6">
        <f t="shared" si="4"/>
        <v>87.306358381502889</v>
      </c>
    </row>
    <row r="81" spans="1:11" x14ac:dyDescent="0.3">
      <c r="A81" s="1">
        <v>80</v>
      </c>
      <c r="B81" s="3">
        <v>45350</v>
      </c>
      <c r="C81" s="1" t="s">
        <v>8</v>
      </c>
      <c r="D81" s="1" t="s">
        <v>19</v>
      </c>
      <c r="E81" s="1" t="s">
        <v>17</v>
      </c>
      <c r="F81" s="1">
        <v>380</v>
      </c>
      <c r="G81" s="1">
        <v>44525</v>
      </c>
      <c r="H81" s="1" t="s">
        <v>28</v>
      </c>
      <c r="I81" s="1">
        <v>57</v>
      </c>
      <c r="J81" s="1" t="str">
        <f t="shared" si="3"/>
        <v>A3</v>
      </c>
      <c r="K81" s="6">
        <f t="shared" si="4"/>
        <v>117.17105263157895</v>
      </c>
    </row>
    <row r="82" spans="1:11" x14ac:dyDescent="0.3">
      <c r="A82" s="1">
        <v>81</v>
      </c>
      <c r="B82" s="3">
        <v>45335</v>
      </c>
      <c r="C82" s="1" t="s">
        <v>27</v>
      </c>
      <c r="D82" s="1" t="s">
        <v>24</v>
      </c>
      <c r="E82" s="1" t="s">
        <v>10</v>
      </c>
      <c r="F82" s="1">
        <v>32</v>
      </c>
      <c r="G82" s="1">
        <v>3132</v>
      </c>
      <c r="H82" s="1" t="s">
        <v>18</v>
      </c>
      <c r="I82" s="1">
        <v>42</v>
      </c>
      <c r="J82" s="1" t="str">
        <f t="shared" si="3"/>
        <v>A2</v>
      </c>
      <c r="K82" s="6">
        <f t="shared" si="4"/>
        <v>97.875</v>
      </c>
    </row>
    <row r="83" spans="1:11" x14ac:dyDescent="0.3">
      <c r="A83" s="1">
        <v>82</v>
      </c>
      <c r="B83" s="3">
        <v>45457</v>
      </c>
      <c r="C83" s="1" t="s">
        <v>27</v>
      </c>
      <c r="D83" s="1" t="s">
        <v>9</v>
      </c>
      <c r="E83" s="1" t="s">
        <v>14</v>
      </c>
      <c r="F83" s="1">
        <v>130</v>
      </c>
      <c r="G83" s="1">
        <v>16740</v>
      </c>
      <c r="H83" s="1" t="s">
        <v>11</v>
      </c>
      <c r="I83" s="1">
        <v>25</v>
      </c>
      <c r="J83" s="1" t="str">
        <f t="shared" si="3"/>
        <v>A1</v>
      </c>
      <c r="K83" s="6">
        <f t="shared" si="4"/>
        <v>128.76923076923077</v>
      </c>
    </row>
    <row r="84" spans="1:11" x14ac:dyDescent="0.3">
      <c r="A84" s="1">
        <v>83</v>
      </c>
      <c r="B84" s="3">
        <v>45254</v>
      </c>
      <c r="C84" s="1" t="s">
        <v>12</v>
      </c>
      <c r="D84" s="1" t="s">
        <v>20</v>
      </c>
      <c r="E84" s="1" t="s">
        <v>17</v>
      </c>
      <c r="F84" s="1">
        <v>545</v>
      </c>
      <c r="G84" s="1">
        <v>65250</v>
      </c>
      <c r="H84" s="1" t="s">
        <v>11</v>
      </c>
      <c r="I84" s="1">
        <v>26</v>
      </c>
      <c r="J84" s="1" t="str">
        <f t="shared" si="3"/>
        <v>A1</v>
      </c>
      <c r="K84" s="6">
        <f t="shared" si="4"/>
        <v>119.72477064220183</v>
      </c>
    </row>
    <row r="85" spans="1:11" x14ac:dyDescent="0.3">
      <c r="A85" s="1">
        <v>84</v>
      </c>
      <c r="B85" s="3">
        <v>45369</v>
      </c>
      <c r="C85" s="1" t="s">
        <v>12</v>
      </c>
      <c r="D85" s="1" t="s">
        <v>21</v>
      </c>
      <c r="E85" s="1" t="s">
        <v>23</v>
      </c>
      <c r="F85" s="1">
        <v>84</v>
      </c>
      <c r="G85" s="1">
        <v>10688</v>
      </c>
      <c r="H85" s="1" t="s">
        <v>11</v>
      </c>
      <c r="I85" s="1">
        <v>28</v>
      </c>
      <c r="J85" s="1" t="str">
        <f t="shared" si="3"/>
        <v>A1</v>
      </c>
      <c r="K85" s="6">
        <f t="shared" si="4"/>
        <v>127.23809523809524</v>
      </c>
    </row>
    <row r="86" spans="1:11" x14ac:dyDescent="0.3">
      <c r="A86" s="1">
        <v>85</v>
      </c>
      <c r="B86" s="3">
        <v>45309</v>
      </c>
      <c r="C86" s="1" t="s">
        <v>12</v>
      </c>
      <c r="D86" s="1" t="s">
        <v>24</v>
      </c>
      <c r="E86" s="1" t="s">
        <v>23</v>
      </c>
      <c r="F86" s="1">
        <v>192</v>
      </c>
      <c r="G86" s="1">
        <v>18648</v>
      </c>
      <c r="H86" s="1" t="s">
        <v>11</v>
      </c>
      <c r="I86" s="1">
        <v>42</v>
      </c>
      <c r="J86" s="1" t="str">
        <f t="shared" si="3"/>
        <v>A2</v>
      </c>
      <c r="K86" s="6">
        <f t="shared" si="4"/>
        <v>97.125</v>
      </c>
    </row>
    <row r="87" spans="1:11" x14ac:dyDescent="0.3">
      <c r="A87" s="1">
        <v>86</v>
      </c>
      <c r="B87" s="3">
        <v>45307</v>
      </c>
      <c r="C87" s="1" t="s">
        <v>8</v>
      </c>
      <c r="D87" s="1" t="s">
        <v>21</v>
      </c>
      <c r="E87" s="1" t="s">
        <v>10</v>
      </c>
      <c r="F87" s="1">
        <v>60</v>
      </c>
      <c r="G87" s="1">
        <v>5822</v>
      </c>
      <c r="H87" s="1" t="s">
        <v>18</v>
      </c>
      <c r="I87" s="1">
        <v>28</v>
      </c>
      <c r="J87" s="1" t="str">
        <f t="shared" si="3"/>
        <v>A1</v>
      </c>
      <c r="K87" s="6">
        <f t="shared" si="4"/>
        <v>97.033333333333331</v>
      </c>
    </row>
    <row r="88" spans="1:11" x14ac:dyDescent="0.3">
      <c r="A88" s="1">
        <v>87</v>
      </c>
      <c r="B88" s="3">
        <v>45330</v>
      </c>
      <c r="C88" s="1" t="s">
        <v>12</v>
      </c>
      <c r="D88" s="1" t="s">
        <v>24</v>
      </c>
      <c r="E88" s="1" t="s">
        <v>14</v>
      </c>
      <c r="F88" s="1">
        <v>209</v>
      </c>
      <c r="G88" s="1">
        <v>51221</v>
      </c>
      <c r="H88" s="1" t="s">
        <v>11</v>
      </c>
      <c r="I88" s="1">
        <v>42</v>
      </c>
      <c r="J88" s="1" t="str">
        <f t="shared" si="3"/>
        <v>A2</v>
      </c>
      <c r="K88" s="6">
        <f t="shared" si="4"/>
        <v>245.07655502392345</v>
      </c>
    </row>
    <row r="89" spans="1:11" x14ac:dyDescent="0.3">
      <c r="A89" s="1">
        <v>88</v>
      </c>
      <c r="B89" s="3">
        <v>45305</v>
      </c>
      <c r="C89" s="1" t="s">
        <v>15</v>
      </c>
      <c r="D89" s="1" t="s">
        <v>21</v>
      </c>
      <c r="E89" s="1" t="s">
        <v>14</v>
      </c>
      <c r="F89" s="1">
        <v>264</v>
      </c>
      <c r="G89" s="1">
        <v>75332</v>
      </c>
      <c r="H89" s="1" t="s">
        <v>11</v>
      </c>
      <c r="I89" s="1">
        <v>28</v>
      </c>
      <c r="J89" s="1" t="str">
        <f t="shared" si="3"/>
        <v>A1</v>
      </c>
      <c r="K89" s="6">
        <f t="shared" si="4"/>
        <v>285.34848484848487</v>
      </c>
    </row>
    <row r="90" spans="1:11" x14ac:dyDescent="0.3">
      <c r="A90" s="1">
        <v>89</v>
      </c>
      <c r="B90" s="3">
        <v>45348</v>
      </c>
      <c r="C90" s="1" t="s">
        <v>12</v>
      </c>
      <c r="D90" s="1" t="s">
        <v>20</v>
      </c>
      <c r="E90" s="1" t="s">
        <v>23</v>
      </c>
      <c r="F90" s="1">
        <v>97</v>
      </c>
      <c r="G90" s="1">
        <v>679</v>
      </c>
      <c r="H90" s="1" t="s">
        <v>11</v>
      </c>
      <c r="I90" s="1">
        <v>26</v>
      </c>
      <c r="J90" s="1" t="str">
        <f t="shared" si="3"/>
        <v>A1</v>
      </c>
      <c r="K90" s="6">
        <f t="shared" si="4"/>
        <v>7</v>
      </c>
    </row>
    <row r="91" spans="1:11" x14ac:dyDescent="0.3">
      <c r="A91" s="1">
        <v>90</v>
      </c>
      <c r="B91" s="3">
        <v>45289</v>
      </c>
      <c r="C91" s="1" t="s">
        <v>12</v>
      </c>
      <c r="D91" s="1" t="s">
        <v>20</v>
      </c>
      <c r="E91" s="1" t="s">
        <v>14</v>
      </c>
      <c r="F91" s="1">
        <v>404</v>
      </c>
      <c r="G91" s="1">
        <v>13310</v>
      </c>
      <c r="H91" s="1" t="s">
        <v>11</v>
      </c>
      <c r="I91" s="1">
        <v>26</v>
      </c>
      <c r="J91" s="1" t="str">
        <f t="shared" si="3"/>
        <v>A1</v>
      </c>
      <c r="K91" s="6">
        <f t="shared" si="4"/>
        <v>32.945544554455445</v>
      </c>
    </row>
    <row r="92" spans="1:11" x14ac:dyDescent="0.3">
      <c r="A92" s="1">
        <v>91</v>
      </c>
      <c r="B92" s="3">
        <v>45444</v>
      </c>
      <c r="C92" s="1" t="s">
        <v>15</v>
      </c>
      <c r="D92" s="1" t="s">
        <v>24</v>
      </c>
      <c r="E92" s="1" t="s">
        <v>17</v>
      </c>
      <c r="F92" s="1">
        <v>386</v>
      </c>
      <c r="G92" s="1">
        <v>47952</v>
      </c>
      <c r="H92" s="1" t="s">
        <v>18</v>
      </c>
      <c r="I92" s="1">
        <v>42</v>
      </c>
      <c r="J92" s="1" t="str">
        <f t="shared" si="3"/>
        <v>A2</v>
      </c>
      <c r="K92" s="6">
        <f t="shared" si="4"/>
        <v>124.2279792746114</v>
      </c>
    </row>
    <row r="93" spans="1:11" x14ac:dyDescent="0.3">
      <c r="A93" s="1">
        <v>92</v>
      </c>
      <c r="B93" s="3">
        <v>45329</v>
      </c>
      <c r="C93" s="1" t="s">
        <v>8</v>
      </c>
      <c r="D93" s="1" t="s">
        <v>9</v>
      </c>
      <c r="E93" s="1" t="s">
        <v>17</v>
      </c>
      <c r="F93" s="1">
        <v>214</v>
      </c>
      <c r="G93" s="1">
        <v>4984</v>
      </c>
      <c r="H93" s="1" t="s">
        <v>18</v>
      </c>
      <c r="I93" s="1">
        <v>25</v>
      </c>
      <c r="J93" s="1" t="str">
        <f t="shared" si="3"/>
        <v>A1</v>
      </c>
      <c r="K93" s="6">
        <f t="shared" si="4"/>
        <v>23.289719626168225</v>
      </c>
    </row>
    <row r="94" spans="1:11" x14ac:dyDescent="0.3">
      <c r="A94" s="1">
        <v>93</v>
      </c>
      <c r="B94" s="3">
        <v>45277</v>
      </c>
      <c r="C94" s="1" t="s">
        <v>8</v>
      </c>
      <c r="D94" s="1" t="s">
        <v>22</v>
      </c>
      <c r="E94" s="1" t="s">
        <v>10</v>
      </c>
      <c r="F94" s="1">
        <v>366</v>
      </c>
      <c r="G94" s="1">
        <v>4131</v>
      </c>
      <c r="H94" s="1" t="s">
        <v>18</v>
      </c>
      <c r="I94" s="1">
        <v>28</v>
      </c>
      <c r="J94" s="1" t="str">
        <f t="shared" si="3"/>
        <v>A1</v>
      </c>
      <c r="K94" s="6">
        <f t="shared" si="4"/>
        <v>11.28688524590164</v>
      </c>
    </row>
    <row r="95" spans="1:11" x14ac:dyDescent="0.3">
      <c r="A95" s="1">
        <v>94</v>
      </c>
      <c r="B95" s="3">
        <v>45427</v>
      </c>
      <c r="C95" s="1" t="s">
        <v>15</v>
      </c>
      <c r="D95" s="1" t="s">
        <v>25</v>
      </c>
      <c r="E95" s="1" t="s">
        <v>10</v>
      </c>
      <c r="F95" s="1">
        <v>173</v>
      </c>
      <c r="G95" s="1">
        <v>24549</v>
      </c>
      <c r="H95" s="1" t="s">
        <v>18</v>
      </c>
      <c r="I95" s="1">
        <v>25</v>
      </c>
      <c r="J95" s="1" t="str">
        <f t="shared" si="3"/>
        <v>A1</v>
      </c>
      <c r="K95" s="6">
        <f t="shared" si="4"/>
        <v>141.90173410404626</v>
      </c>
    </row>
    <row r="96" spans="1:11" x14ac:dyDescent="0.3">
      <c r="A96" s="1">
        <v>95</v>
      </c>
      <c r="B96" s="3">
        <v>45521</v>
      </c>
      <c r="C96" s="1" t="s">
        <v>15</v>
      </c>
      <c r="D96" s="1" t="s">
        <v>24</v>
      </c>
      <c r="E96" s="1" t="s">
        <v>14</v>
      </c>
      <c r="F96" s="1">
        <v>306</v>
      </c>
      <c r="G96" s="1">
        <v>679</v>
      </c>
      <c r="H96" s="1" t="s">
        <v>11</v>
      </c>
      <c r="I96" s="1">
        <v>42</v>
      </c>
      <c r="J96" s="1" t="str">
        <f t="shared" si="3"/>
        <v>A2</v>
      </c>
      <c r="K96" s="6">
        <f t="shared" si="4"/>
        <v>2.2189542483660132</v>
      </c>
    </row>
    <row r="97" spans="1:11" x14ac:dyDescent="0.3">
      <c r="A97" s="1">
        <v>96</v>
      </c>
      <c r="B97" s="3">
        <v>45347</v>
      </c>
      <c r="C97" s="1" t="s">
        <v>15</v>
      </c>
      <c r="D97" s="1" t="s">
        <v>21</v>
      </c>
      <c r="E97" s="1" t="s">
        <v>10</v>
      </c>
      <c r="F97" s="1">
        <v>128</v>
      </c>
      <c r="G97" s="1">
        <v>35088</v>
      </c>
      <c r="H97" s="1" t="s">
        <v>18</v>
      </c>
      <c r="I97" s="1">
        <v>28</v>
      </c>
      <c r="J97" s="1" t="str">
        <f t="shared" si="3"/>
        <v>A1</v>
      </c>
      <c r="K97" s="6">
        <f t="shared" si="4"/>
        <v>274.125</v>
      </c>
    </row>
    <row r="98" spans="1:11" x14ac:dyDescent="0.3">
      <c r="A98" s="1">
        <v>97</v>
      </c>
      <c r="B98" s="3">
        <v>45293</v>
      </c>
      <c r="C98" s="1" t="s">
        <v>12</v>
      </c>
      <c r="D98" s="1" t="s">
        <v>9</v>
      </c>
      <c r="E98" s="1" t="s">
        <v>23</v>
      </c>
      <c r="F98" s="1">
        <v>368</v>
      </c>
      <c r="G98" s="1">
        <v>25254</v>
      </c>
      <c r="H98" s="1" t="s">
        <v>11</v>
      </c>
      <c r="I98" s="1">
        <v>25</v>
      </c>
      <c r="J98" s="1" t="str">
        <f t="shared" ref="J98:J121" si="5">IF(I98 &lt;= 35,"A1",IF(I98 &lt;= 45,"A2","A3"))</f>
        <v>A1</v>
      </c>
      <c r="K98" s="6">
        <f t="shared" si="4"/>
        <v>68.625</v>
      </c>
    </row>
    <row r="99" spans="1:11" x14ac:dyDescent="0.3">
      <c r="A99" s="1">
        <v>98</v>
      </c>
      <c r="B99" s="3">
        <v>45282</v>
      </c>
      <c r="C99" s="1" t="s">
        <v>12</v>
      </c>
      <c r="D99" s="1" t="s">
        <v>19</v>
      </c>
      <c r="E99" s="1" t="s">
        <v>17</v>
      </c>
      <c r="F99" s="1">
        <v>222</v>
      </c>
      <c r="G99" s="1">
        <v>17500</v>
      </c>
      <c r="H99" s="1" t="s">
        <v>18</v>
      </c>
      <c r="I99" s="1">
        <v>57</v>
      </c>
      <c r="J99" s="1" t="str">
        <f t="shared" si="5"/>
        <v>A3</v>
      </c>
      <c r="K99" s="6">
        <f t="shared" si="4"/>
        <v>78.828828828828833</v>
      </c>
    </row>
    <row r="100" spans="1:11" x14ac:dyDescent="0.3">
      <c r="A100" s="1">
        <v>99</v>
      </c>
      <c r="B100" s="3">
        <v>45464</v>
      </c>
      <c r="C100" s="1" t="s">
        <v>12</v>
      </c>
      <c r="D100" s="1" t="s">
        <v>24</v>
      </c>
      <c r="E100" s="1" t="s">
        <v>23</v>
      </c>
      <c r="F100" s="1">
        <v>216</v>
      </c>
      <c r="G100" s="1">
        <v>36934</v>
      </c>
      <c r="H100" s="1" t="s">
        <v>11</v>
      </c>
      <c r="I100" s="1">
        <v>42</v>
      </c>
      <c r="J100" s="1" t="str">
        <f t="shared" si="5"/>
        <v>A2</v>
      </c>
      <c r="K100" s="6">
        <f t="shared" si="4"/>
        <v>170.99074074074073</v>
      </c>
    </row>
    <row r="101" spans="1:11" x14ac:dyDescent="0.3">
      <c r="A101" s="1">
        <v>100</v>
      </c>
      <c r="B101" s="3">
        <v>45286</v>
      </c>
      <c r="C101" s="1" t="s">
        <v>12</v>
      </c>
      <c r="D101" s="1" t="s">
        <v>13</v>
      </c>
      <c r="E101" s="1" t="s">
        <v>23</v>
      </c>
      <c r="F101" s="1">
        <v>307</v>
      </c>
      <c r="G101" s="1">
        <v>679</v>
      </c>
      <c r="H101" s="1" t="s">
        <v>11</v>
      </c>
      <c r="I101" s="1">
        <v>52</v>
      </c>
      <c r="J101" s="1" t="str">
        <f t="shared" si="5"/>
        <v>A3</v>
      </c>
      <c r="K101" s="6">
        <f t="shared" si="4"/>
        <v>2.2117263843648209</v>
      </c>
    </row>
    <row r="102" spans="1:11" x14ac:dyDescent="0.3">
      <c r="A102" s="1">
        <v>101</v>
      </c>
      <c r="B102" s="3">
        <v>45215</v>
      </c>
      <c r="C102" s="1" t="s">
        <v>8</v>
      </c>
      <c r="D102" s="1" t="s">
        <v>9</v>
      </c>
      <c r="E102" s="1" t="s">
        <v>14</v>
      </c>
      <c r="F102" s="1">
        <v>384</v>
      </c>
      <c r="G102" s="1">
        <v>40565</v>
      </c>
      <c r="H102" s="1" t="s">
        <v>11</v>
      </c>
      <c r="I102" s="1">
        <v>25</v>
      </c>
      <c r="J102" s="1" t="str">
        <f t="shared" si="5"/>
        <v>A1</v>
      </c>
      <c r="K102" s="6">
        <f t="shared" si="4"/>
        <v>105.63802083333333</v>
      </c>
    </row>
    <row r="103" spans="1:11" x14ac:dyDescent="0.3">
      <c r="A103" s="1">
        <v>102</v>
      </c>
      <c r="B103" s="3">
        <v>45497</v>
      </c>
      <c r="C103" s="1" t="s">
        <v>27</v>
      </c>
      <c r="D103" s="1" t="s">
        <v>20</v>
      </c>
      <c r="E103" s="1" t="s">
        <v>10</v>
      </c>
      <c r="F103" s="1">
        <v>376</v>
      </c>
      <c r="G103" s="1">
        <v>679</v>
      </c>
      <c r="H103" s="1" t="s">
        <v>11</v>
      </c>
      <c r="I103" s="1">
        <v>26</v>
      </c>
      <c r="J103" s="1" t="str">
        <f t="shared" si="5"/>
        <v>A1</v>
      </c>
      <c r="K103" s="6">
        <f t="shared" si="4"/>
        <v>1.8058510638297873</v>
      </c>
    </row>
    <row r="104" spans="1:11" x14ac:dyDescent="0.3">
      <c r="A104" s="1">
        <v>103</v>
      </c>
      <c r="B104" s="3">
        <v>45274</v>
      </c>
      <c r="C104" s="1" t="s">
        <v>27</v>
      </c>
      <c r="D104" s="1" t="s">
        <v>19</v>
      </c>
      <c r="E104" s="1" t="s">
        <v>10</v>
      </c>
      <c r="F104" s="1">
        <v>97</v>
      </c>
      <c r="G104" s="1">
        <v>679</v>
      </c>
      <c r="H104" s="1" t="s">
        <v>11</v>
      </c>
      <c r="I104" s="1">
        <v>57</v>
      </c>
      <c r="J104" s="1" t="str">
        <f t="shared" si="5"/>
        <v>A3</v>
      </c>
      <c r="K104" s="6">
        <f t="shared" si="4"/>
        <v>7</v>
      </c>
    </row>
    <row r="105" spans="1:11" x14ac:dyDescent="0.3">
      <c r="A105" s="1">
        <v>104</v>
      </c>
      <c r="B105" s="3">
        <v>45243</v>
      </c>
      <c r="C105" s="1" t="s">
        <v>12</v>
      </c>
      <c r="D105" s="1" t="s">
        <v>24</v>
      </c>
      <c r="E105" s="1" t="s">
        <v>17</v>
      </c>
      <c r="F105" s="1">
        <v>359</v>
      </c>
      <c r="G105" s="1">
        <v>12753</v>
      </c>
      <c r="H105" s="1" t="s">
        <v>18</v>
      </c>
      <c r="I105" s="1">
        <v>42</v>
      </c>
      <c r="J105" s="1" t="str">
        <f t="shared" si="5"/>
        <v>A2</v>
      </c>
      <c r="K105" s="6">
        <f t="shared" si="4"/>
        <v>35.523676880222844</v>
      </c>
    </row>
    <row r="106" spans="1:11" x14ac:dyDescent="0.3">
      <c r="A106" s="1">
        <v>105</v>
      </c>
      <c r="B106" s="3">
        <v>45350</v>
      </c>
      <c r="C106" s="1" t="s">
        <v>15</v>
      </c>
      <c r="D106" s="1" t="s">
        <v>24</v>
      </c>
      <c r="E106" s="1" t="s">
        <v>17</v>
      </c>
      <c r="F106" s="1">
        <v>318</v>
      </c>
      <c r="G106" s="1">
        <v>16864</v>
      </c>
      <c r="H106" s="1" t="s">
        <v>18</v>
      </c>
      <c r="I106" s="1">
        <v>42</v>
      </c>
      <c r="J106" s="1" t="str">
        <f t="shared" si="5"/>
        <v>A2</v>
      </c>
      <c r="K106" s="6">
        <f t="shared" si="4"/>
        <v>53.031446540880502</v>
      </c>
    </row>
    <row r="107" spans="1:11" x14ac:dyDescent="0.3">
      <c r="A107" s="1">
        <v>106</v>
      </c>
      <c r="B107" s="3">
        <v>45392</v>
      </c>
      <c r="C107" s="1" t="s">
        <v>8</v>
      </c>
      <c r="D107" s="1" t="s">
        <v>24</v>
      </c>
      <c r="E107" s="1" t="s">
        <v>10</v>
      </c>
      <c r="F107" s="1">
        <v>51</v>
      </c>
      <c r="G107" s="1">
        <v>56888</v>
      </c>
      <c r="H107" s="1" t="s">
        <v>11</v>
      </c>
      <c r="I107" s="1">
        <v>42</v>
      </c>
      <c r="J107" s="1" t="str">
        <f t="shared" si="5"/>
        <v>A2</v>
      </c>
      <c r="K107" s="6">
        <f t="shared" si="4"/>
        <v>1115.4509803921569</v>
      </c>
    </row>
    <row r="108" spans="1:11" x14ac:dyDescent="0.3">
      <c r="A108" s="1">
        <v>107</v>
      </c>
      <c r="B108" s="3">
        <v>45412</v>
      </c>
      <c r="C108" s="1" t="s">
        <v>27</v>
      </c>
      <c r="D108" s="1" t="s">
        <v>21</v>
      </c>
      <c r="E108" s="1" t="s">
        <v>17</v>
      </c>
      <c r="F108" s="1">
        <v>236</v>
      </c>
      <c r="G108" s="1">
        <v>679</v>
      </c>
      <c r="H108" s="1" t="s">
        <v>28</v>
      </c>
      <c r="I108" s="1">
        <v>28</v>
      </c>
      <c r="J108" s="1" t="str">
        <f t="shared" si="5"/>
        <v>A1</v>
      </c>
      <c r="K108" s="6">
        <f t="shared" si="4"/>
        <v>2.8771186440677967</v>
      </c>
    </row>
    <row r="109" spans="1:11" x14ac:dyDescent="0.3">
      <c r="A109" s="1">
        <v>108</v>
      </c>
      <c r="B109" s="3">
        <v>45264</v>
      </c>
      <c r="C109" s="1" t="s">
        <v>12</v>
      </c>
      <c r="D109" s="1" t="s">
        <v>24</v>
      </c>
      <c r="E109" s="1" t="s">
        <v>10</v>
      </c>
      <c r="F109" s="1">
        <v>214</v>
      </c>
      <c r="G109" s="1">
        <v>31122</v>
      </c>
      <c r="H109" s="1" t="s">
        <v>18</v>
      </c>
      <c r="I109" s="1">
        <v>42</v>
      </c>
      <c r="J109" s="1" t="str">
        <f t="shared" si="5"/>
        <v>A2</v>
      </c>
      <c r="K109" s="6">
        <f t="shared" si="4"/>
        <v>145.42990654205607</v>
      </c>
    </row>
    <row r="110" spans="1:11" x14ac:dyDescent="0.3">
      <c r="A110" s="1">
        <v>109</v>
      </c>
      <c r="B110" s="3">
        <v>45256</v>
      </c>
      <c r="C110" s="1" t="s">
        <v>27</v>
      </c>
      <c r="D110" s="1" t="s">
        <v>22</v>
      </c>
      <c r="E110" s="1" t="s">
        <v>10</v>
      </c>
      <c r="F110" s="1">
        <v>86</v>
      </c>
      <c r="G110" s="1">
        <v>25853</v>
      </c>
      <c r="H110" s="1" t="s">
        <v>11</v>
      </c>
      <c r="I110" s="1">
        <v>28</v>
      </c>
      <c r="J110" s="1" t="str">
        <f t="shared" si="5"/>
        <v>A1</v>
      </c>
      <c r="K110" s="6">
        <f t="shared" si="4"/>
        <v>300.61627906976742</v>
      </c>
    </row>
    <row r="111" spans="1:11" x14ac:dyDescent="0.3">
      <c r="A111" s="1">
        <v>110</v>
      </c>
      <c r="B111" s="3">
        <v>45383</v>
      </c>
      <c r="C111" s="1" t="s">
        <v>12</v>
      </c>
      <c r="D111" s="1" t="s">
        <v>13</v>
      </c>
      <c r="E111" s="1" t="s">
        <v>17</v>
      </c>
      <c r="F111" s="1">
        <v>155</v>
      </c>
      <c r="G111" s="1">
        <v>11092</v>
      </c>
      <c r="H111" s="1" t="s">
        <v>11</v>
      </c>
      <c r="I111" s="1">
        <v>52</v>
      </c>
      <c r="J111" s="1" t="str">
        <f t="shared" si="5"/>
        <v>A3</v>
      </c>
      <c r="K111" s="6">
        <f t="shared" si="4"/>
        <v>71.561290322580646</v>
      </c>
    </row>
    <row r="112" spans="1:11" x14ac:dyDescent="0.3">
      <c r="A112" s="1">
        <v>111</v>
      </c>
      <c r="B112" s="3">
        <v>45497</v>
      </c>
      <c r="C112" s="1" t="s">
        <v>15</v>
      </c>
      <c r="D112" s="1" t="s">
        <v>20</v>
      </c>
      <c r="E112" s="1" t="s">
        <v>23</v>
      </c>
      <c r="F112" s="1">
        <v>319</v>
      </c>
      <c r="G112" s="1">
        <v>4221</v>
      </c>
      <c r="H112" s="1" t="s">
        <v>18</v>
      </c>
      <c r="I112" s="1">
        <v>26</v>
      </c>
      <c r="J112" s="1" t="str">
        <f t="shared" si="5"/>
        <v>A1</v>
      </c>
      <c r="K112" s="6">
        <f t="shared" si="4"/>
        <v>13.231974921630094</v>
      </c>
    </row>
    <row r="113" spans="1:11" x14ac:dyDescent="0.3">
      <c r="A113" s="1">
        <v>112</v>
      </c>
      <c r="B113" s="3">
        <v>45527</v>
      </c>
      <c r="C113" s="1" t="s">
        <v>27</v>
      </c>
      <c r="D113" s="1" t="s">
        <v>25</v>
      </c>
      <c r="E113" s="1" t="s">
        <v>10</v>
      </c>
      <c r="F113" s="1">
        <v>62</v>
      </c>
      <c r="G113" s="1">
        <v>31500</v>
      </c>
      <c r="H113" s="1" t="s">
        <v>18</v>
      </c>
      <c r="I113" s="1">
        <v>25</v>
      </c>
      <c r="J113" s="1" t="str">
        <f t="shared" si="5"/>
        <v>A1</v>
      </c>
      <c r="K113" s="6">
        <f t="shared" si="4"/>
        <v>508.06451612903226</v>
      </c>
    </row>
    <row r="114" spans="1:11" x14ac:dyDescent="0.3">
      <c r="A114" s="1">
        <v>113</v>
      </c>
      <c r="B114" s="3">
        <v>45370</v>
      </c>
      <c r="C114" s="1" t="s">
        <v>27</v>
      </c>
      <c r="D114" s="1" t="s">
        <v>20</v>
      </c>
      <c r="E114" s="1" t="s">
        <v>10</v>
      </c>
      <c r="F114" s="1">
        <v>81</v>
      </c>
      <c r="G114" s="1">
        <v>31414</v>
      </c>
      <c r="H114" s="1" t="s">
        <v>11</v>
      </c>
      <c r="I114" s="1">
        <v>26</v>
      </c>
      <c r="J114" s="1" t="str">
        <f t="shared" si="5"/>
        <v>A1</v>
      </c>
      <c r="K114" s="6">
        <f t="shared" si="4"/>
        <v>387.82716049382714</v>
      </c>
    </row>
    <row r="115" spans="1:11" x14ac:dyDescent="0.3">
      <c r="A115" s="1">
        <v>114</v>
      </c>
      <c r="B115" s="3">
        <v>45233</v>
      </c>
      <c r="C115" s="1" t="s">
        <v>15</v>
      </c>
      <c r="D115" s="1" t="s">
        <v>19</v>
      </c>
      <c r="E115" s="1" t="s">
        <v>10</v>
      </c>
      <c r="F115" s="1">
        <v>126</v>
      </c>
      <c r="G115" s="1">
        <v>40446</v>
      </c>
      <c r="H115" s="1" t="s">
        <v>28</v>
      </c>
      <c r="I115" s="1">
        <v>57</v>
      </c>
      <c r="J115" s="1" t="str">
        <f t="shared" si="5"/>
        <v>A3</v>
      </c>
      <c r="K115" s="6">
        <f t="shared" si="4"/>
        <v>321</v>
      </c>
    </row>
    <row r="116" spans="1:11" x14ac:dyDescent="0.3">
      <c r="A116" s="1">
        <v>115</v>
      </c>
      <c r="B116" s="3">
        <v>45232</v>
      </c>
      <c r="C116" s="1" t="s">
        <v>12</v>
      </c>
      <c r="D116" s="1" t="s">
        <v>20</v>
      </c>
      <c r="E116" s="1" t="s">
        <v>10</v>
      </c>
      <c r="F116" s="1">
        <v>541</v>
      </c>
      <c r="G116" s="1">
        <v>42432</v>
      </c>
      <c r="H116" s="1" t="s">
        <v>11</v>
      </c>
      <c r="I116" s="1">
        <v>26</v>
      </c>
      <c r="J116" s="1" t="str">
        <f t="shared" si="5"/>
        <v>A1</v>
      </c>
      <c r="K116" s="6">
        <f t="shared" si="4"/>
        <v>78.432532347504619</v>
      </c>
    </row>
    <row r="117" spans="1:11" x14ac:dyDescent="0.3">
      <c r="A117" s="1">
        <v>116</v>
      </c>
      <c r="B117" s="3">
        <v>45240</v>
      </c>
      <c r="C117" s="1" t="s">
        <v>15</v>
      </c>
      <c r="D117" s="1" t="s">
        <v>21</v>
      </c>
      <c r="E117" s="1" t="s">
        <v>14</v>
      </c>
      <c r="F117" s="1">
        <v>666</v>
      </c>
      <c r="G117" s="1">
        <v>64635</v>
      </c>
      <c r="H117" s="1" t="s">
        <v>18</v>
      </c>
      <c r="I117" s="1">
        <v>28</v>
      </c>
      <c r="J117" s="1" t="str">
        <f t="shared" si="5"/>
        <v>A1</v>
      </c>
      <c r="K117" s="6">
        <f t="shared" si="4"/>
        <v>97.049549549549553</v>
      </c>
    </row>
    <row r="118" spans="1:11" x14ac:dyDescent="0.3">
      <c r="A118" s="1">
        <v>117</v>
      </c>
      <c r="B118" s="3">
        <v>45374</v>
      </c>
      <c r="C118" s="1" t="s">
        <v>15</v>
      </c>
      <c r="D118" s="1" t="s">
        <v>20</v>
      </c>
      <c r="E118" s="1" t="s">
        <v>23</v>
      </c>
      <c r="F118" s="1">
        <v>527</v>
      </c>
      <c r="G118" s="1">
        <v>51168</v>
      </c>
      <c r="H118" s="1" t="s">
        <v>18</v>
      </c>
      <c r="I118" s="1">
        <v>26</v>
      </c>
      <c r="J118" s="1" t="str">
        <f t="shared" si="5"/>
        <v>A1</v>
      </c>
      <c r="K118" s="6">
        <f t="shared" si="4"/>
        <v>97.092979127134726</v>
      </c>
    </row>
    <row r="119" spans="1:11" x14ac:dyDescent="0.3">
      <c r="A119" s="1">
        <v>118</v>
      </c>
      <c r="B119" s="3">
        <v>45273</v>
      </c>
      <c r="C119" s="1" t="s">
        <v>12</v>
      </c>
      <c r="D119" s="1" t="s">
        <v>24</v>
      </c>
      <c r="E119" s="1" t="s">
        <v>10</v>
      </c>
      <c r="F119" s="1">
        <v>289</v>
      </c>
      <c r="G119" s="1">
        <v>24948</v>
      </c>
      <c r="H119" s="1" t="s">
        <v>18</v>
      </c>
      <c r="I119" s="1">
        <v>42</v>
      </c>
      <c r="J119" s="1" t="str">
        <f t="shared" si="5"/>
        <v>A2</v>
      </c>
      <c r="K119" s="6">
        <f t="shared" si="4"/>
        <v>86.325259515570934</v>
      </c>
    </row>
    <row r="120" spans="1:11" x14ac:dyDescent="0.3">
      <c r="A120" s="1">
        <v>119</v>
      </c>
      <c r="B120" s="3">
        <v>45305</v>
      </c>
      <c r="C120" s="1" t="s">
        <v>12</v>
      </c>
      <c r="D120" s="1" t="s">
        <v>19</v>
      </c>
      <c r="E120" s="1" t="s">
        <v>23</v>
      </c>
      <c r="F120" s="1">
        <v>199</v>
      </c>
      <c r="G120" s="1">
        <v>56118</v>
      </c>
      <c r="H120" s="1" t="s">
        <v>28</v>
      </c>
      <c r="I120" s="1">
        <v>57</v>
      </c>
      <c r="J120" s="1" t="str">
        <f t="shared" si="5"/>
        <v>A3</v>
      </c>
      <c r="K120" s="6">
        <f t="shared" si="4"/>
        <v>282</v>
      </c>
    </row>
    <row r="121" spans="1:11" x14ac:dyDescent="0.3">
      <c r="A121" s="1">
        <v>120</v>
      </c>
      <c r="B121" s="3">
        <v>45361</v>
      </c>
      <c r="C121" s="1" t="s">
        <v>27</v>
      </c>
      <c r="D121" s="1" t="s">
        <v>16</v>
      </c>
      <c r="E121" s="1" t="s">
        <v>10</v>
      </c>
      <c r="F121" s="1">
        <v>497</v>
      </c>
      <c r="G121" s="1">
        <v>46548</v>
      </c>
      <c r="H121" s="1" t="s">
        <v>11</v>
      </c>
      <c r="I121" s="1">
        <v>36</v>
      </c>
      <c r="J121" s="1" t="str">
        <f t="shared" si="5"/>
        <v>A2</v>
      </c>
      <c r="K121" s="6">
        <f t="shared" si="4"/>
        <v>93.6579476861167</v>
      </c>
    </row>
  </sheetData>
  <autoFilter ref="A1:J121" xr:uid="{00000000-0001-0000-0000-000000000000}">
    <sortState xmlns:xlrd2="http://schemas.microsoft.com/office/spreadsheetml/2017/richdata2" ref="A2:J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PIVOT 1</vt:lpstr>
      <vt:lpstr>PIVOT 2</vt:lpstr>
      <vt:lpstr>PIVOT 3</vt:lpstr>
      <vt:lpstr>PIVOT 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mohammed rasheed</cp:lastModifiedBy>
  <dcterms:created xsi:type="dcterms:W3CDTF">2015-06-05T18:17:20Z</dcterms:created>
  <dcterms:modified xsi:type="dcterms:W3CDTF">2026-02-24T17:44:42Z</dcterms:modified>
</cp:coreProperties>
</file>